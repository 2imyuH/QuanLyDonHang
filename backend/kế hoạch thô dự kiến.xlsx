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E-VPTH-PC02\Desktop\"/>
    </mc:Choice>
  </mc:AlternateContent>
  <bookViews>
    <workbookView xWindow="-105" yWindow="-105" windowWidth="19425" windowHeight="10305" activeTab="1"/>
  </bookViews>
  <sheets>
    <sheet name="kế hoạch lên thô" sheetId="4" r:id="rId1"/>
    <sheet name="xưởng B" sheetId="5" r:id="rId2"/>
    <sheet name="OE" sheetId="3" r:id="rId3"/>
    <sheet name="sp xưởng B" sheetId="6" r:id="rId4"/>
    <sheet name="tính cky " sheetId="7" r:id="rId5"/>
    <sheet name="chải xA" sheetId="8" r:id="rId6"/>
    <sheet name="chải xB" sheetId="18" r:id="rId7"/>
    <sheet name="BÔNG DÙNG CNM" sheetId="9" r:id="rId8"/>
    <sheet name="ghép 4 SUỐT AA" sheetId="10" r:id="rId9"/>
    <sheet name="ghép 4 SUỐT AB" sheetId="11" r:id="rId10"/>
    <sheet name="ghép 5 SUỐT AA" sheetId="19" r:id="rId11"/>
    <sheet name="ghép 5 SUỐT AB" sheetId="20" r:id="rId12"/>
    <sheet name="TÍNH BÁO CÁO XB" sheetId="14" r:id="rId13"/>
    <sheet name="SẮP CÚI" sheetId="15" r:id="rId14"/>
    <sheet name="Sheet2" sheetId="17" r:id="rId15"/>
  </sheets>
  <calcPr calcId="162913"/>
</workbook>
</file>

<file path=xl/calcChain.xml><?xml version="1.0" encoding="utf-8"?>
<calcChain xmlns="http://schemas.openxmlformats.org/spreadsheetml/2006/main">
  <c r="H21" i="18" l="1"/>
  <c r="H15" i="18"/>
  <c r="F19" i="18"/>
  <c r="H18" i="18"/>
  <c r="H14" i="18"/>
  <c r="J9" i="18"/>
  <c r="G9" i="18"/>
  <c r="H4" i="18"/>
  <c r="G3" i="18"/>
  <c r="E3" i="18"/>
  <c r="H16" i="18" l="1"/>
  <c r="F13" i="18"/>
  <c r="H11" i="18"/>
  <c r="H10" i="18"/>
  <c r="F8" i="18"/>
  <c r="J6" i="18"/>
  <c r="H6" i="18"/>
  <c r="H5" i="18"/>
  <c r="F2" i="18"/>
  <c r="F14" i="8" l="1"/>
  <c r="F19" i="8" s="1"/>
  <c r="C14" i="8"/>
  <c r="C19" i="8"/>
  <c r="C21" i="8" s="1"/>
  <c r="D19" i="8"/>
  <c r="G15" i="8"/>
  <c r="G19" i="8" s="1"/>
  <c r="C15" i="8"/>
  <c r="E19" i="8"/>
  <c r="H19" i="8"/>
  <c r="I19" i="8"/>
  <c r="J19" i="8"/>
  <c r="E13" i="8"/>
  <c r="H13" i="8"/>
  <c r="J12" i="8"/>
  <c r="J11" i="8"/>
  <c r="D11" i="8"/>
  <c r="I9" i="8"/>
  <c r="K9" i="8"/>
  <c r="I7" i="8"/>
  <c r="D7" i="8"/>
  <c r="F2" i="8"/>
  <c r="C2" i="8"/>
  <c r="L4" i="8"/>
  <c r="C10" i="8" l="1"/>
  <c r="J10" i="8"/>
  <c r="I8" i="8"/>
  <c r="C6" i="8"/>
  <c r="J6" i="8"/>
  <c r="J5" i="8"/>
  <c r="D5" i="8"/>
  <c r="I3" i="8"/>
  <c r="D3" i="8"/>
  <c r="K61" i="18"/>
  <c r="D21" i="18"/>
  <c r="C21" i="18"/>
  <c r="B21" i="18"/>
  <c r="G17" i="18"/>
  <c r="J21" i="18"/>
  <c r="I21" i="18"/>
  <c r="G21" i="18"/>
  <c r="E21" i="18"/>
  <c r="F21" i="18"/>
  <c r="F24" i="18" l="1"/>
  <c r="K21" i="18"/>
  <c r="L21" i="18" s="1"/>
  <c r="L19" i="8"/>
  <c r="B19" i="8"/>
  <c r="I2" i="5" l="1"/>
  <c r="J2" i="5" s="1"/>
  <c r="K2" i="5" s="1"/>
  <c r="L2" i="5" s="1"/>
  <c r="L29" i="7" l="1"/>
  <c r="H29" i="7"/>
  <c r="H28" i="7"/>
  <c r="I7" i="7"/>
  <c r="I39" i="7" l="1"/>
  <c r="B40" i="7"/>
  <c r="H38" i="7"/>
  <c r="H37" i="7"/>
  <c r="L36" i="7"/>
  <c r="H3" i="7"/>
  <c r="F35" i="7" l="1"/>
  <c r="E34" i="7"/>
  <c r="E40" i="7" s="1"/>
  <c r="I33" i="7"/>
  <c r="H32" i="7"/>
  <c r="D31" i="7"/>
  <c r="H13" i="7"/>
  <c r="K26" i="7"/>
  <c r="C26" i="7"/>
  <c r="L25" i="7"/>
  <c r="F30" i="7" l="1"/>
  <c r="K27" i="7"/>
  <c r="G27" i="7"/>
  <c r="L24" i="7"/>
  <c r="G10" i="5" l="1"/>
  <c r="C3" i="7" l="1"/>
  <c r="C40" i="7" s="1"/>
  <c r="H23" i="7"/>
  <c r="K22" i="7" l="1"/>
  <c r="K40" i="7" s="1"/>
  <c r="G22" i="7"/>
  <c r="G40" i="7" s="1"/>
  <c r="H21" i="7" l="1"/>
  <c r="J17" i="7" l="1"/>
  <c r="H17" i="7"/>
  <c r="H20" i="7"/>
  <c r="H19" i="7"/>
  <c r="F18" i="7"/>
  <c r="F40" i="7" s="1"/>
  <c r="H16" i="7"/>
  <c r="I15" i="7"/>
  <c r="M10" i="7" l="1"/>
  <c r="I10" i="7"/>
  <c r="J9" i="7"/>
  <c r="J40" i="7" s="1"/>
  <c r="H9" i="7"/>
  <c r="H6" i="7"/>
  <c r="H8" i="7" l="1"/>
  <c r="I14" i="7"/>
  <c r="M59" i="8" l="1"/>
  <c r="I22" i="8" l="1"/>
  <c r="K19" i="8"/>
  <c r="I12" i="7"/>
  <c r="L11" i="7"/>
  <c r="L40" i="7" s="1"/>
  <c r="L41" i="7" s="1"/>
  <c r="H11" i="7"/>
  <c r="H40" i="7" s="1"/>
  <c r="I4" i="7"/>
  <c r="D40" i="7"/>
  <c r="I40" i="7" l="1"/>
  <c r="M19" i="8"/>
  <c r="N19" i="8" s="1"/>
  <c r="G9" i="4" l="1"/>
  <c r="K61" i="7" l="1"/>
  <c r="K58" i="7"/>
  <c r="K56" i="7"/>
  <c r="K54" i="7"/>
  <c r="K66" i="7" s="1"/>
  <c r="K51" i="7"/>
  <c r="F38" i="4" l="1"/>
  <c r="E41" i="7" l="1"/>
  <c r="J41" i="7"/>
  <c r="K41" i="7"/>
  <c r="C41" i="7" l="1"/>
  <c r="O42" i="7"/>
  <c r="H109" i="4" l="1"/>
  <c r="F78" i="5" l="1"/>
  <c r="G72" i="5" l="1"/>
  <c r="D41" i="7"/>
  <c r="G87" i="4"/>
  <c r="F41" i="7"/>
  <c r="G41" i="7"/>
  <c r="H41" i="7"/>
  <c r="I41" i="7"/>
  <c r="M40" i="7"/>
  <c r="M41" i="7" s="1"/>
  <c r="E6" i="14"/>
  <c r="E13" i="14"/>
  <c r="E21" i="14"/>
  <c r="E22" i="14"/>
  <c r="N13" i="14"/>
  <c r="N21" i="14" s="1"/>
  <c r="N22" i="14" s="1"/>
  <c r="G9" i="14"/>
  <c r="G21" i="14"/>
  <c r="G22" i="14" s="1"/>
  <c r="B25" i="14" s="1"/>
  <c r="N6" i="14"/>
  <c r="J6" i="14"/>
  <c r="J21" i="14" s="1"/>
  <c r="J22" i="14" s="1"/>
  <c r="B21" i="14"/>
  <c r="F21" i="14"/>
  <c r="F22" i="14" s="1"/>
  <c r="B26" i="14" s="1"/>
  <c r="H21" i="14"/>
  <c r="H22" i="14"/>
  <c r="I21" i="14"/>
  <c r="I22" i="14"/>
  <c r="K21" i="14"/>
  <c r="K22" i="14"/>
  <c r="L21" i="14"/>
  <c r="L22" i="14" s="1"/>
  <c r="M21" i="14"/>
  <c r="M22" i="14"/>
  <c r="O21" i="14"/>
  <c r="O22" i="14"/>
  <c r="P21" i="14"/>
  <c r="P22" i="14"/>
  <c r="D16" i="14"/>
  <c r="C16" i="14"/>
  <c r="D14" i="14"/>
  <c r="C14" i="14"/>
  <c r="D13" i="14"/>
  <c r="C13" i="14"/>
  <c r="D6" i="14"/>
  <c r="D21" i="14"/>
  <c r="C6" i="14"/>
  <c r="C21" i="14" s="1"/>
  <c r="C2" i="5"/>
  <c r="D2" i="5" s="1"/>
  <c r="E2" i="5" s="1"/>
  <c r="F2" i="5" s="1"/>
  <c r="G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</calcChain>
</file>

<file path=xl/sharedStrings.xml><?xml version="1.0" encoding="utf-8"?>
<sst xmlns="http://schemas.openxmlformats.org/spreadsheetml/2006/main" count="9078" uniqueCount="8570">
  <si>
    <t>B08 VA064</t>
    <phoneticPr fontId="1" type="noConversion"/>
  </si>
  <si>
    <t>BC20 VA074 14/3</t>
    <phoneticPr fontId="1" type="noConversion"/>
  </si>
  <si>
    <t>B0849 VA027  17/3</t>
    <phoneticPr fontId="1" type="noConversion"/>
  </si>
  <si>
    <t>SB182023BAB VA021 SỢI A-SỢIB 20/3</t>
    <phoneticPr fontId="1" type="noConversion"/>
  </si>
  <si>
    <t>B0714 3VA014 21/3</t>
    <phoneticPr fontId="1" type="noConversion"/>
  </si>
  <si>
    <t>B6865  VA005US  22/3</t>
    <phoneticPr fontId="1" type="noConversion"/>
  </si>
  <si>
    <t>B8280  3VA024 24/3</t>
    <phoneticPr fontId="1" type="noConversion"/>
  </si>
  <si>
    <t>SGR41668A(CVC5-U) VA028 21/3</t>
    <phoneticPr fontId="1" type="noConversion"/>
  </si>
  <si>
    <t>B07B(OCN) VA003 20/3</t>
    <phoneticPr fontId="1" type="noConversion"/>
  </si>
  <si>
    <t>B1069  VA143U 20/3</t>
    <phoneticPr fontId="1" type="noConversion"/>
  </si>
  <si>
    <t>BA37L(U) TJVA113U 20/3</t>
    <phoneticPr fontId="1" type="noConversion"/>
  </si>
  <si>
    <t>B1069 VA144UUS 22/3</t>
    <phoneticPr fontId="1" type="noConversion"/>
  </si>
  <si>
    <t>B14B(OCR)  VA002U 23/3</t>
    <phoneticPr fontId="1" type="noConversion"/>
  </si>
  <si>
    <t>BAB037 VA020U S-B 2CA 22/3</t>
    <phoneticPr fontId="1" type="noConversion"/>
  </si>
  <si>
    <t>B1068(OCN)  VA006U 24/3</t>
    <phoneticPr fontId="1" type="noConversion"/>
  </si>
  <si>
    <t>B1068 VA110U  25/3</t>
    <phoneticPr fontId="1" type="noConversion"/>
  </si>
  <si>
    <t>B1019 VA104U  24/3</t>
    <phoneticPr fontId="1" type="noConversion"/>
  </si>
  <si>
    <t>B0423 VA030U 26/3</t>
    <phoneticPr fontId="1" type="noConversion"/>
  </si>
  <si>
    <t>SB182441ABM100 VA001 22/3</t>
    <phoneticPr fontId="1" type="noConversion"/>
  </si>
  <si>
    <t>SA239288BBPM-U JVA002U 22/3</t>
    <phoneticPr fontId="1" type="noConversion"/>
  </si>
  <si>
    <t>B8847 VA022U 23/3</t>
    <phoneticPr fontId="1" type="noConversion"/>
  </si>
  <si>
    <t>BM(100)C07 VA002  1CA  11/4</t>
    <phoneticPr fontId="1" type="noConversion"/>
  </si>
  <si>
    <t>B06A(BOC10) JVA010 26/3</t>
    <phoneticPr fontId="1" type="noConversion"/>
  </si>
  <si>
    <t>SB182441ABM100  VA001  23/3</t>
    <phoneticPr fontId="1" type="noConversion"/>
  </si>
  <si>
    <t>BC06V(EA30) JVA001  27/3</t>
    <phoneticPr fontId="1" type="noConversion"/>
  </si>
  <si>
    <t>B09B(C60/ETB40) 3VA007U 24/3</t>
    <phoneticPr fontId="1" type="noConversion"/>
  </si>
  <si>
    <t>BCVC07B  VA071U 24/3</t>
    <phoneticPr fontId="1" type="noConversion"/>
  </si>
  <si>
    <t>BCVC04B VA055 25/3</t>
    <phoneticPr fontId="1" type="noConversion"/>
  </si>
  <si>
    <t>BM1020 3VA004U 1600.01  27/3</t>
    <phoneticPr fontId="1" type="noConversion"/>
  </si>
  <si>
    <t>SA162273A(TC-U) VA014U   30/3</t>
    <phoneticPr fontId="1" type="noConversion"/>
  </si>
  <si>
    <t>BCVCAB072 VA001U SỢI A 1CA 31/3</t>
    <phoneticPr fontId="1" type="noConversion"/>
  </si>
  <si>
    <t>BCVC11B  VA115U 7/4</t>
    <phoneticPr fontId="1" type="noConversion"/>
  </si>
  <si>
    <t>BVA004R VA001 26/3</t>
    <phoneticPr fontId="1" type="noConversion"/>
  </si>
  <si>
    <t>BVA004E VA007U  29/4</t>
    <phoneticPr fontId="1" type="noConversion"/>
  </si>
  <si>
    <t>BCVCAB072 VA001U SỢI B 26/3</t>
    <phoneticPr fontId="1" type="noConversion"/>
  </si>
  <si>
    <t>B0887  JVA022 27/3</t>
    <phoneticPr fontId="1" type="noConversion"/>
  </si>
  <si>
    <t>SA200871ACVC-U VA030U 6/4</t>
    <phoneticPr fontId="1" type="noConversion"/>
  </si>
  <si>
    <t>BM0284 VA012U 2CA 8/4</t>
    <phoneticPr fontId="1" type="noConversion"/>
  </si>
  <si>
    <t>BTC12B VA043 22/3</t>
    <phoneticPr fontId="1" type="noConversion"/>
  </si>
  <si>
    <t>BCVC04B  VA056  11/4</t>
    <phoneticPr fontId="1" type="noConversion"/>
  </si>
  <si>
    <t>B1069(OCN)  JVA024 26/3</t>
    <phoneticPr fontId="1" type="noConversion"/>
  </si>
  <si>
    <t>B04B VA080U  27/3</t>
    <phoneticPr fontId="1" type="noConversion"/>
  </si>
  <si>
    <t>B02B VA111 3/4</t>
    <phoneticPr fontId="1" type="noConversion"/>
  </si>
  <si>
    <t>B07B VA112U 27/3</t>
    <phoneticPr fontId="1" type="noConversion"/>
  </si>
  <si>
    <t>SO41269A(U)  VA024U  6/4</t>
    <phoneticPr fontId="1" type="noConversion"/>
  </si>
  <si>
    <t>BAB094  VA027 SỘI B 27/3</t>
    <phoneticPr fontId="1" type="noConversion"/>
  </si>
  <si>
    <t>B12B VA131</t>
    <phoneticPr fontId="1" type="noConversion"/>
  </si>
  <si>
    <t>B1067 VA095  28/3</t>
    <phoneticPr fontId="1" type="noConversion"/>
  </si>
  <si>
    <t>B1069(OCN)  JVA025 29/3</t>
    <phoneticPr fontId="1" type="noConversion"/>
  </si>
  <si>
    <t>SA162273A(U) VA129 29/3</t>
    <phoneticPr fontId="1" type="noConversion"/>
  </si>
  <si>
    <t>B09B  VA077U  29/3</t>
    <phoneticPr fontId="1" type="noConversion"/>
  </si>
  <si>
    <t>B11B VA073U 28/3</t>
    <phoneticPr fontId="1" type="noConversion"/>
  </si>
  <si>
    <t>B04B(OCR)  VA003U 28/3</t>
    <phoneticPr fontId="1" type="noConversion"/>
  </si>
  <si>
    <t>B1004P(EA30) VA005  29/3</t>
    <phoneticPr fontId="1" type="noConversion"/>
  </si>
  <si>
    <t>BA37L(U) JVA114U 1/4</t>
    <phoneticPr fontId="1" type="noConversion"/>
  </si>
  <si>
    <t>SA170299A(U)  VA026U  2/4</t>
    <phoneticPr fontId="1" type="noConversion"/>
  </si>
  <si>
    <t>B1069(OCN)  JVA026U 3/4</t>
    <phoneticPr fontId="1" type="noConversion"/>
  </si>
  <si>
    <t>B6856 VA004 30/3</t>
    <phoneticPr fontId="1" type="noConversion"/>
  </si>
  <si>
    <t>B09B(RE60/C40) JVA001 12/4</t>
    <phoneticPr fontId="1" type="noConversion"/>
  </si>
  <si>
    <t>BM(100)1004  VA002 30/3</t>
    <phoneticPr fontId="1" type="noConversion"/>
  </si>
  <si>
    <t>BCVC1067  VA017 30/3</t>
    <phoneticPr fontId="1" type="noConversion"/>
  </si>
  <si>
    <t>BCVC104  VA042 30/3</t>
    <phoneticPr fontId="1" type="noConversion"/>
  </si>
  <si>
    <t>SA229141DCVC VA007  30/3</t>
    <phoneticPr fontId="1" type="noConversion"/>
  </si>
  <si>
    <t>SA170299A(BPM-U) VA002 31/3</t>
    <phoneticPr fontId="1" type="noConversion"/>
  </si>
  <si>
    <t>BM12B 3JVA040U 2/4</t>
    <phoneticPr fontId="1" type="noConversion"/>
  </si>
  <si>
    <t>B8847(OCN25)  VA004U 3/4</t>
    <phoneticPr fontId="1" type="noConversion"/>
  </si>
  <si>
    <t>BOC8224 3JVA002U 29/3</t>
    <phoneticPr fontId="1" type="noConversion"/>
  </si>
  <si>
    <t>B1069  VA147UUA30/3</t>
    <phoneticPr fontId="1" type="noConversion"/>
  </si>
  <si>
    <t>B1068(OCN)  VA007U 31/3</t>
    <phoneticPr fontId="1" type="noConversion"/>
  </si>
  <si>
    <t>B1069(AA) 3JVA015U 4/4</t>
    <phoneticPr fontId="1" type="noConversion"/>
  </si>
  <si>
    <t>SB171721A(BM100M)  VA012M  30/3</t>
    <phoneticPr fontId="1" type="noConversion"/>
  </si>
  <si>
    <t>BAB094 VA027 SỢI A 27/3</t>
    <phoneticPr fontId="1" type="noConversion"/>
  </si>
  <si>
    <t>SB182023BAB VA022US SỢI B-SỢIA 28/3</t>
    <phoneticPr fontId="1" type="noConversion"/>
  </si>
  <si>
    <t>B0849 VA028  29/3</t>
    <phoneticPr fontId="1" type="noConversion"/>
  </si>
  <si>
    <t>B0840  VA037  29/3</t>
    <phoneticPr fontId="1" type="noConversion"/>
  </si>
  <si>
    <t>B08 VA064 8/4</t>
    <phoneticPr fontId="1" type="noConversion"/>
  </si>
  <si>
    <t>B1114  VA008U 10/4</t>
    <phoneticPr fontId="1" type="noConversion"/>
  </si>
  <si>
    <t>B1069(OCN)  JVA027 11/4</t>
    <phoneticPr fontId="1" type="noConversion"/>
  </si>
  <si>
    <t>B1124 VA004 2/4</t>
    <phoneticPr fontId="1" type="noConversion"/>
  </si>
  <si>
    <t>B11B  VA074U 3/4</t>
    <phoneticPr fontId="1" type="noConversion"/>
  </si>
  <si>
    <t>BPM8847  VA033 3/4</t>
    <phoneticPr fontId="1" type="noConversion"/>
  </si>
  <si>
    <t>B1067(OCN) VA006 9/4</t>
    <phoneticPr fontId="1" type="noConversion"/>
  </si>
  <si>
    <t>B1067  VA096U 10/4</t>
    <phoneticPr fontId="1" type="noConversion"/>
  </si>
  <si>
    <t>BM(50)8804 VA020 2CA 30/3</t>
    <phoneticPr fontId="1" type="noConversion"/>
  </si>
  <si>
    <t>B1V10(TC)  VA029 31/3</t>
    <phoneticPr fontId="1" type="noConversion"/>
  </si>
  <si>
    <t>B2652 VA031U  11/4</t>
    <phoneticPr fontId="1" type="noConversion"/>
  </si>
  <si>
    <t>BAB037 VA021 SỢI B 8/4</t>
    <phoneticPr fontId="1" type="noConversion"/>
  </si>
  <si>
    <t>B1069  VA148  8/4</t>
    <phoneticPr fontId="1" type="noConversion"/>
  </si>
  <si>
    <t>BAB037 VA021 SỢI A 6/4</t>
    <phoneticPr fontId="1" type="noConversion"/>
  </si>
  <si>
    <t>BTR04B(AA) 3JVA003U  8/4</t>
    <phoneticPr fontId="1" type="noConversion"/>
  </si>
  <si>
    <t>BTR1067  VA001 9/4</t>
    <phoneticPr fontId="1" type="noConversion"/>
  </si>
  <si>
    <t>B6837  VA020 10/4</t>
    <phoneticPr fontId="1" type="noConversion"/>
  </si>
  <si>
    <t>BM1029 VA002 9/4</t>
    <phoneticPr fontId="1" type="noConversion"/>
  </si>
  <si>
    <t>SB182441ABM100  VA002  7/4</t>
    <phoneticPr fontId="1" type="noConversion"/>
  </si>
  <si>
    <t>BCVC1069 VA038 10/4</t>
    <phoneticPr fontId="1" type="noConversion"/>
  </si>
  <si>
    <t>BM(100M)04B(AA) JVA008 13/4</t>
    <phoneticPr fontId="1" type="noConversion"/>
  </si>
  <si>
    <t>SGR41668A(CVC5-U)  VA029 11/4</t>
    <phoneticPr fontId="1" type="noConversion"/>
  </si>
  <si>
    <t>BA37L(OCN-U) VA001U 19/4</t>
    <phoneticPr fontId="1" type="noConversion"/>
  </si>
  <si>
    <t>B6856(C60/ETB40) VA001  10/4</t>
    <phoneticPr fontId="1" type="noConversion"/>
  </si>
  <si>
    <t>SGR51370A(BM100)  VA004  9/4</t>
    <phoneticPr fontId="1" type="noConversion"/>
  </si>
  <si>
    <t>B1069(BPM100A) VA002U 14/4</t>
    <phoneticPr fontId="1" type="noConversion"/>
  </si>
  <si>
    <t>SB190986DER30-AB-U  VA001 SỢI A 11/4</t>
    <phoneticPr fontId="1" type="noConversion"/>
  </si>
  <si>
    <t>SA200871AU VA051 16/4</t>
    <phoneticPr fontId="1" type="noConversion"/>
  </si>
  <si>
    <t>SR195755DER30-AB-U  VA001  SỢI A 11/4</t>
    <phoneticPr fontId="1" type="noConversion"/>
  </si>
  <si>
    <t>B08 VA065</t>
    <phoneticPr fontId="1" type="noConversion"/>
  </si>
  <si>
    <t>BCVCC20(S) VA013 12/4</t>
    <phoneticPr fontId="1" type="noConversion"/>
  </si>
  <si>
    <t>BA05 VA023UA 13/4</t>
    <phoneticPr fontId="1" type="noConversion"/>
  </si>
  <si>
    <t>B02B VA112U 12/4</t>
    <phoneticPr fontId="1" type="noConversion"/>
  </si>
  <si>
    <t>SB190986DER30-AB-U  VA001 SỢI B 11/4</t>
    <phoneticPr fontId="1" type="noConversion"/>
  </si>
  <si>
    <t>SR195755DER30-AB-U  VA001  SỢI B 11/4</t>
    <phoneticPr fontId="1" type="noConversion"/>
  </si>
  <si>
    <t>B0628 JVA017 13/4</t>
    <phoneticPr fontId="1" type="noConversion"/>
  </si>
  <si>
    <t>B1016 JVA037U 13/4</t>
    <phoneticPr fontId="1" type="noConversion"/>
  </si>
  <si>
    <t>SG190987AER30-AB-U VA001 SỢI A  14/4</t>
    <phoneticPr fontId="1" type="noConversion"/>
  </si>
  <si>
    <t>B06A(FH18)(BOC10) JVA080UY  22/4</t>
    <phoneticPr fontId="1" type="noConversion"/>
  </si>
  <si>
    <t>BAB071 VA015 SỢI B 15/4</t>
    <phoneticPr fontId="1" type="noConversion"/>
  </si>
  <si>
    <t>BAB071 VA015 SỢI A 14/4</t>
    <phoneticPr fontId="1" type="noConversion"/>
  </si>
  <si>
    <t>SR215328ABPM50-U  VA006UUS  16/4</t>
    <phoneticPr fontId="1" type="noConversion"/>
  </si>
  <si>
    <t>BM1029 VA003 15/4</t>
    <phoneticPr fontId="1" type="noConversion"/>
  </si>
  <si>
    <t>B0459(C60/ETB40) VA001U 15/4</t>
    <phoneticPr fontId="1" type="noConversion"/>
  </si>
  <si>
    <t>SA170299A(C60/ETB40-U) VA001UUS 14/4</t>
    <phoneticPr fontId="1" type="noConversion"/>
  </si>
  <si>
    <t>BM(60)11B  VA001U  1T 14/4</t>
    <phoneticPr fontId="1" type="noConversion"/>
  </si>
  <si>
    <t>B09B(C60/ETB40)  VA008U 14/4</t>
    <phoneticPr fontId="1" type="noConversion"/>
  </si>
  <si>
    <t>B1069(C60/ERT40)  VA003U  14/4</t>
    <phoneticPr fontId="1" type="noConversion"/>
  </si>
  <si>
    <t>BCVC1069 VA039U 17/4</t>
    <phoneticPr fontId="1" type="noConversion"/>
  </si>
  <si>
    <t>SGR82938A(BOC10-U) VA001 14/4</t>
    <phoneticPr fontId="1" type="noConversion"/>
  </si>
  <si>
    <t>SG190987AER30-AB-U VA001  SỢI B 14/4</t>
    <phoneticPr fontId="1" type="noConversion"/>
  </si>
  <si>
    <t>B1AT26DU  JVA001 14/4</t>
    <phoneticPr fontId="1" type="noConversion"/>
  </si>
  <si>
    <t>B1114  VA009U 15/4</t>
    <phoneticPr fontId="1" type="noConversion"/>
  </si>
  <si>
    <t>B1069 JVA149U 14/4</t>
    <phoneticPr fontId="1" type="noConversion"/>
  </si>
  <si>
    <t>SA170299A(U)  VA027 14/4</t>
    <phoneticPr fontId="1" type="noConversion"/>
  </si>
  <si>
    <t>B1016 VA036UGEC 13/4</t>
    <phoneticPr fontId="1" type="noConversion"/>
  </si>
  <si>
    <t>B1034 VA020UGEC 13/4</t>
    <phoneticPr fontId="1" type="noConversion"/>
  </si>
  <si>
    <t>B1068(OCN) VA008UUS 16/4</t>
    <phoneticPr fontId="1" type="noConversion"/>
  </si>
  <si>
    <t>B07B VA112 (chạy BS07B 330.69 LB) 2ca 17/4</t>
    <phoneticPr fontId="1" type="noConversion"/>
  </si>
  <si>
    <t>B04B VA081  17/4</t>
    <phoneticPr fontId="1" type="noConversion"/>
  </si>
  <si>
    <t>BA37L(U)  TVA115U 15/4</t>
    <phoneticPr fontId="1" type="noConversion"/>
  </si>
  <si>
    <t>B1004  VA174U 14/4</t>
    <phoneticPr fontId="1" type="noConversion"/>
  </si>
  <si>
    <t>B8211(OCN)  VA001  16/4</t>
    <phoneticPr fontId="1" type="noConversion"/>
  </si>
  <si>
    <t>B14B VA063UUA 17/4</t>
    <phoneticPr fontId="1" type="noConversion"/>
  </si>
  <si>
    <t>BOC14B JVA003U 16/4</t>
    <phoneticPr fontId="1" type="noConversion"/>
  </si>
  <si>
    <t>BPM(50)0475 VA001UUS 16/4</t>
    <phoneticPr fontId="1" type="noConversion"/>
  </si>
  <si>
    <t>B1004 VA173GEC 15/4</t>
    <phoneticPr fontId="1" type="noConversion"/>
  </si>
  <si>
    <t>SA191068BU  JVA021 15/4</t>
    <phoneticPr fontId="1" type="noConversion"/>
  </si>
  <si>
    <t>JBA13 JVA123  17/4</t>
    <phoneticPr fontId="1" type="noConversion"/>
  </si>
  <si>
    <t>B10P(ERT40/C35/EA25) VA005 15/4</t>
    <phoneticPr fontId="1" type="noConversion"/>
  </si>
  <si>
    <t>BMC07  JVA021 16/4</t>
    <phoneticPr fontId="1" type="noConversion"/>
  </si>
  <si>
    <t>BM103 VA001 17/4</t>
    <phoneticPr fontId="1" type="noConversion"/>
  </si>
  <si>
    <t>BTC8804 VA002 17/4</t>
    <phoneticPr fontId="1" type="noConversion"/>
  </si>
  <si>
    <t>SA200871AU  VA052U 27/4</t>
    <phoneticPr fontId="1" type="noConversion"/>
  </si>
  <si>
    <t>BVA004E VA007U  21/4</t>
    <phoneticPr fontId="1" type="noConversion"/>
  </si>
  <si>
    <t>B1019 VA105 18/4</t>
    <phoneticPr fontId="1" type="noConversion"/>
  </si>
  <si>
    <t>BA37L(U)  JVA116U 18/4</t>
    <phoneticPr fontId="1" type="noConversion"/>
  </si>
  <si>
    <t>B1004P(EA30)  VA006U 20/4</t>
    <phoneticPr fontId="1" type="noConversion"/>
  </si>
  <si>
    <t>SA192462AU  JVA006U 18/4</t>
    <phoneticPr fontId="1" type="noConversion"/>
  </si>
  <si>
    <t>B0284 JVA015U 21/4</t>
    <phoneticPr fontId="1" type="noConversion"/>
  </si>
  <si>
    <t>B06A(FH18)(BOC20-AA) TJVA010UY 20/4</t>
    <phoneticPr fontId="1" type="noConversion"/>
  </si>
  <si>
    <t>B1047 VA023 20/4</t>
    <phoneticPr fontId="1" type="noConversion"/>
  </si>
  <si>
    <t>B06B VA053 20/4</t>
    <phoneticPr fontId="1" type="noConversion"/>
  </si>
  <si>
    <t>B1067  VA097U 21/4</t>
    <phoneticPr fontId="1" type="noConversion"/>
  </si>
  <si>
    <t>BCVCC02  VA043 19/4</t>
    <phoneticPr fontId="1" type="noConversion"/>
  </si>
  <si>
    <t>BPL6820 VA001  18/4</t>
    <phoneticPr fontId="1" type="noConversion"/>
  </si>
  <si>
    <t>BM7831 VA001 18/4</t>
    <phoneticPr fontId="1" type="noConversion"/>
  </si>
  <si>
    <t>B1V10(BPL) JVA026M 25/4</t>
    <phoneticPr fontId="1" type="noConversion"/>
  </si>
  <si>
    <t>B6820  VA012  20/4</t>
    <phoneticPr fontId="1" type="noConversion"/>
  </si>
  <si>
    <t>BAB094 VA028 SỢI B 21/4</t>
    <phoneticPr fontId="1" type="noConversion"/>
  </si>
  <si>
    <t>BAB094 VA028 SỢI A 20/4</t>
    <phoneticPr fontId="1" type="noConversion"/>
  </si>
  <si>
    <t>BN091AC54/ERN20/ERT20/OC6-U VA004 24/4</t>
    <phoneticPr fontId="1" type="noConversion"/>
  </si>
  <si>
    <t>BA03  3VA029 22/4</t>
    <phoneticPr fontId="1" type="noConversion"/>
  </si>
  <si>
    <t>B1V10(40ET) 3VA007 27/4</t>
    <phoneticPr fontId="1" type="noConversion"/>
  </si>
  <si>
    <t>SA155794D(ER10-XY-U) VA0005U SỢI X 23/4</t>
    <phoneticPr fontId="1" type="noConversion"/>
  </si>
  <si>
    <t>SB182023BAB JVA023 SỢI A-B 23/4</t>
    <phoneticPr fontId="1" type="noConversion"/>
  </si>
  <si>
    <t>B09B VA078  23/4</t>
    <phoneticPr fontId="1" type="noConversion"/>
  </si>
  <si>
    <t>BA37L(U) JVA117U 24/4</t>
    <phoneticPr fontId="1" type="noConversion"/>
  </si>
  <si>
    <t>B1115 VA006 2CA 25/4</t>
    <phoneticPr fontId="1" type="noConversion"/>
  </si>
  <si>
    <t>B1029P(EA30)  VA012U 23/4</t>
    <phoneticPr fontId="1" type="noConversion"/>
  </si>
  <si>
    <t>B0459 VA019  22/4</t>
    <phoneticPr fontId="1" type="noConversion"/>
  </si>
  <si>
    <t>B1030  VA016U 21/4</t>
    <phoneticPr fontId="1" type="noConversion"/>
  </si>
  <si>
    <t>SGR72518A JVA013U 21/4</t>
    <phoneticPr fontId="1" type="noConversion"/>
  </si>
  <si>
    <t>SA229141DU JVA006 21/4</t>
    <phoneticPr fontId="1" type="noConversion"/>
  </si>
  <si>
    <t>B06A(BOC10)  JVA011U 21/4</t>
    <phoneticPr fontId="1" type="noConversion"/>
  </si>
  <si>
    <t>B1069(OCN) JVA028U 22/4</t>
    <phoneticPr fontId="1" type="noConversion"/>
  </si>
  <si>
    <t>SO41269A(BPM50-U)  VA005UUS 21/4</t>
    <phoneticPr fontId="1" type="noConversion"/>
  </si>
  <si>
    <t>B06A(FH18)(BOC10) JVA080UY-A  20/4</t>
    <phoneticPr fontId="1" type="noConversion"/>
  </si>
  <si>
    <t>BPM1047 VA003U 20/4</t>
    <phoneticPr fontId="1" type="noConversion"/>
  </si>
  <si>
    <t>BPM1069 VA080UUS 21/4</t>
    <phoneticPr fontId="1" type="noConversion"/>
  </si>
  <si>
    <t>BCVC1047  VA005U  19/4</t>
    <phoneticPr fontId="1" type="noConversion"/>
  </si>
  <si>
    <t>BCVC09B  VA022U  19/4</t>
    <phoneticPr fontId="1" type="noConversion"/>
  </si>
  <si>
    <t>BCVC04B  VA057U  18/4</t>
    <phoneticPr fontId="1" type="noConversion"/>
  </si>
  <si>
    <t>B8804  VA053 24/4</t>
    <phoneticPr fontId="1" type="noConversion"/>
  </si>
  <si>
    <t>BA37L(U) JVA118U 25/4</t>
    <phoneticPr fontId="1" type="noConversion"/>
  </si>
  <si>
    <t>SA180324B(U)  3VA031U 24/4</t>
    <phoneticPr fontId="1" type="noConversion"/>
  </si>
  <si>
    <t>B11B  VA075U 23/4</t>
    <phoneticPr fontId="1" type="noConversion"/>
  </si>
  <si>
    <t>BFC21-44  VA001U 24/4</t>
    <phoneticPr fontId="1" type="noConversion"/>
  </si>
  <si>
    <t>B14B VA064U 24/4</t>
    <phoneticPr fontId="1" type="noConversion"/>
  </si>
  <si>
    <t>B1069 3VA150U  25/4</t>
    <phoneticPr fontId="1" type="noConversion"/>
  </si>
  <si>
    <t>B1019 3VA106 SỢI B  26/4</t>
    <phoneticPr fontId="1" type="noConversion"/>
  </si>
  <si>
    <t>SA219003BOCN10 VA007 26/4</t>
    <phoneticPr fontId="1" type="noConversion"/>
  </si>
  <si>
    <t>B06A(FH18)(BOC10)  TJVA081UY 6/5</t>
    <phoneticPr fontId="1" type="noConversion"/>
  </si>
  <si>
    <t>B04B(AA) JVA010U 26/4</t>
    <phoneticPr fontId="1" type="noConversion"/>
  </si>
  <si>
    <t>SGR72518A  3VA014U 26/4</t>
    <phoneticPr fontId="1" type="noConversion"/>
  </si>
  <si>
    <t>B07B VA114GEC 25/4</t>
    <phoneticPr fontId="1" type="noConversion"/>
  </si>
  <si>
    <t>B0853(AA) JVA001 27/4</t>
    <phoneticPr fontId="1" type="noConversion"/>
  </si>
  <si>
    <t>SA155794D(ER10-XY-U) 3VA005U 26/4</t>
    <phoneticPr fontId="1" type="noConversion"/>
  </si>
  <si>
    <t>KẾ HOẠCH CUNG OE</t>
    <phoneticPr fontId="1" type="noConversion"/>
  </si>
  <si>
    <t>SẢN PHẨM</t>
    <phoneticPr fontId="1" type="noConversion"/>
  </si>
  <si>
    <t>B10V(OCN70/EA30)-OE 3VA003U 19/5</t>
    <phoneticPr fontId="1" type="noConversion"/>
  </si>
  <si>
    <t>BN091AC54/ERN20/ERT20/OC6-U TVA005UY  4/5-10/5</t>
    <phoneticPr fontId="1" type="noConversion"/>
  </si>
  <si>
    <t>SA200871AC60/ERT40-U-OE  3VA006U 6/5-12/5</t>
    <phoneticPr fontId="1" type="noConversion"/>
  </si>
  <si>
    <t>B06A(FH18)(BOC55)-OE  TVA001UY 10/5-17/5</t>
    <phoneticPr fontId="1" type="noConversion"/>
  </si>
  <si>
    <t>B1047  VA024U 28/4</t>
    <phoneticPr fontId="1" type="noConversion"/>
  </si>
  <si>
    <t>SGR72518A  3VA015U 27/4</t>
    <phoneticPr fontId="1" type="noConversion"/>
  </si>
  <si>
    <t>B0284(OCN)  VA008U 26/4</t>
    <phoneticPr fontId="1" type="noConversion"/>
  </si>
  <si>
    <t>B1069  VA151U 28/4</t>
    <phoneticPr fontId="1" type="noConversion"/>
  </si>
  <si>
    <t>B2659(C60/ETB40) VA001UUS 27/4</t>
    <phoneticPr fontId="1" type="noConversion"/>
  </si>
  <si>
    <t>BCVC1019  VA040U 26/4</t>
    <phoneticPr fontId="1" type="noConversion"/>
  </si>
  <si>
    <t>BPM1069 VA080UUS SỢI B 26/4</t>
    <phoneticPr fontId="1" type="noConversion"/>
  </si>
  <si>
    <t>BCVC1004  VA018U 25/4</t>
    <phoneticPr fontId="1" type="noConversion"/>
  </si>
  <si>
    <t>SA200871ACVC-U VA032U 25/4</t>
    <phoneticPr fontId="1" type="noConversion"/>
  </si>
  <si>
    <t>BM1004  VA001U 27/4</t>
    <phoneticPr fontId="1" type="noConversion"/>
  </si>
  <si>
    <t>BCVC11B VA116U 2/5</t>
    <phoneticPr fontId="1" type="noConversion"/>
  </si>
  <si>
    <t>B02B VA113U 27/4</t>
    <phoneticPr fontId="1" type="noConversion"/>
  </si>
  <si>
    <t>SA162273A(TC-U)  VA015U 27/4</t>
    <phoneticPr fontId="1" type="noConversion"/>
  </si>
  <si>
    <t>SA200871ACVC-U VA031U 26/4</t>
    <phoneticPr fontId="1" type="noConversion"/>
  </si>
  <si>
    <t>BM12B VA041UUS 3/5</t>
    <phoneticPr fontId="1" type="noConversion"/>
  </si>
  <si>
    <t>BCVC04B  VA058U 28/4</t>
    <phoneticPr fontId="1" type="noConversion"/>
  </si>
  <si>
    <t>BTC0475 VA017U  2/5</t>
    <phoneticPr fontId="1" type="noConversion"/>
  </si>
  <si>
    <t>SA162273A(U)  VA130U 28/4</t>
    <phoneticPr fontId="1" type="noConversion"/>
  </si>
  <si>
    <t>BPM1052  VA001U 2/5</t>
    <phoneticPr fontId="1" type="noConversion"/>
  </si>
  <si>
    <t>BTR04B(AA) JVA004UM1 3/5</t>
    <phoneticPr fontId="1" type="noConversion"/>
  </si>
  <si>
    <t>B04B VA082U 2/5</t>
    <phoneticPr fontId="1" type="noConversion"/>
  </si>
  <si>
    <t>BTC6838 VA005 3/5</t>
    <phoneticPr fontId="1" type="noConversion"/>
  </si>
  <si>
    <t>BCVC6858 VA001 28/4</t>
    <phoneticPr fontId="1" type="noConversion"/>
  </si>
  <si>
    <t>B20(C60/ETB40) JVA006 27/4</t>
    <phoneticPr fontId="1" type="noConversion"/>
  </si>
  <si>
    <t>B1V20 VA047 4/5</t>
    <phoneticPr fontId="1" type="noConversion"/>
  </si>
  <si>
    <t>BMC07  JVA022 4/5</t>
    <phoneticPr fontId="1" type="noConversion"/>
  </si>
  <si>
    <t>JBA13  JVA124  2/5</t>
    <phoneticPr fontId="1" type="noConversion"/>
  </si>
  <si>
    <t>BPM6837 VA006 1Ca 3/5</t>
    <phoneticPr fontId="1" type="noConversion"/>
  </si>
  <si>
    <t>B14B VA065U 3/5</t>
    <phoneticPr fontId="1" type="noConversion"/>
  </si>
  <si>
    <t>B1068 JVA111U  2/5</t>
    <phoneticPr fontId="1" type="noConversion"/>
  </si>
  <si>
    <t>B0459 VA020 2/5</t>
    <phoneticPr fontId="1" type="noConversion"/>
  </si>
  <si>
    <t>B06B JVA054U 3/5</t>
    <phoneticPr fontId="1" type="noConversion"/>
  </si>
  <si>
    <t>B09B VA079U 3/5</t>
    <phoneticPr fontId="1" type="noConversion"/>
  </si>
  <si>
    <t>B1004  VA175U 7/5</t>
    <phoneticPr fontId="1" type="noConversion"/>
  </si>
  <si>
    <t>BM(100)AB066 VA001U sợi A-B  4/5</t>
    <phoneticPr fontId="1" type="noConversion"/>
  </si>
  <si>
    <t>BM(100)1052 VA002U 7/5</t>
    <phoneticPr fontId="1" type="noConversion"/>
  </si>
  <si>
    <t>B06A(F18)(BOC20-AA) TJVA011UY 9/5</t>
    <phoneticPr fontId="1" type="noConversion"/>
  </si>
  <si>
    <t>B04B(AA) VA009U 9/5</t>
    <phoneticPr fontId="1" type="noConversion"/>
  </si>
  <si>
    <t>B12B VA131 4/6</t>
    <phoneticPr fontId="1" type="noConversion"/>
  </si>
  <si>
    <t>B04B(AA) TJVA009U  8/5</t>
    <phoneticPr fontId="1" type="noConversion"/>
  </si>
  <si>
    <t>BCVC07B  VA072U 7/5</t>
    <phoneticPr fontId="1" type="noConversion"/>
  </si>
  <si>
    <t>BAB037 VA022U SỢI A 6/5</t>
    <phoneticPr fontId="1" type="noConversion"/>
  </si>
  <si>
    <t>B1124(C60/ETB40) 3VA005U 5/5</t>
    <phoneticPr fontId="1" type="noConversion"/>
  </si>
  <si>
    <t>BCVC(40EB)104 VA033U  4/5</t>
    <phoneticPr fontId="1" type="noConversion"/>
  </si>
  <si>
    <t>B09B(C60/ETB40)  VA009U 4/5</t>
    <phoneticPr fontId="1" type="noConversion"/>
  </si>
  <si>
    <t>B12B VA132U 45T 7/6,13/6,20/6 (LÔ TRC NKHO 100.000LB)</t>
    <phoneticPr fontId="1" type="noConversion"/>
  </si>
  <si>
    <t>BOC14B  JVA004U  6/5</t>
    <phoneticPr fontId="1" type="noConversion"/>
  </si>
  <si>
    <t>BAB037 VA022U SỢI B 5/5</t>
    <phoneticPr fontId="1" type="noConversion"/>
  </si>
  <si>
    <t>SA155794D(ER10-XY-U)  3VA006U sợi x  7/5</t>
    <phoneticPr fontId="1" type="noConversion"/>
  </si>
  <si>
    <t>SA155794D(ER10-XY-U)  3VA006U 8/5</t>
    <phoneticPr fontId="1" type="noConversion"/>
  </si>
  <si>
    <t>B6856 VA006 8/5</t>
    <phoneticPr fontId="1" type="noConversion"/>
  </si>
  <si>
    <t>BTC12B VA044 10/5</t>
    <phoneticPr fontId="1" type="noConversion"/>
  </si>
  <si>
    <t>B11B VA076U 6/5</t>
    <phoneticPr fontId="1" type="noConversion"/>
  </si>
  <si>
    <t>BA37L(U) JVA119U  5/5</t>
    <phoneticPr fontId="1" type="noConversion"/>
  </si>
  <si>
    <t>B1069 JVA152U 7/5</t>
    <phoneticPr fontId="1" type="noConversion"/>
  </si>
  <si>
    <t>SA170299A(U)  VA028U +BVA004A VA008 8/5</t>
    <phoneticPr fontId="1" type="noConversion"/>
  </si>
  <si>
    <t>B1067 VA098 7/5</t>
    <phoneticPr fontId="1" type="noConversion"/>
  </si>
  <si>
    <t>B0284(OCN) VA008 SỢI B (mẫu lớn k đạt chạy lại AB) 8/5</t>
    <phoneticPr fontId="1" type="noConversion"/>
  </si>
  <si>
    <t>B08(OCN)  JVA009 9/5</t>
    <phoneticPr fontId="1" type="noConversion"/>
  </si>
  <si>
    <t>B06B VA055 10/5</t>
    <phoneticPr fontId="1" type="noConversion"/>
  </si>
  <si>
    <t>B1052(OCN)  3VA001U  14/5</t>
    <phoneticPr fontId="1" type="noConversion"/>
  </si>
  <si>
    <t>B07B VA112 23/5 (GIAO 754588.87 LB 31T 29/5,6/6)  KTHUC 18/5</t>
    <phoneticPr fontId="1" type="noConversion"/>
  </si>
  <si>
    <t>B09B(C60/ETB40)  VA010U 12/5</t>
    <phoneticPr fontId="1" type="noConversion"/>
  </si>
  <si>
    <t>BCVC(40ETB)103  3VA003U 9/5</t>
    <phoneticPr fontId="1" type="noConversion"/>
  </si>
  <si>
    <t>B1067(OCN) 3VA007U 10/5</t>
    <phoneticPr fontId="1" type="noConversion"/>
  </si>
  <si>
    <t>B1068  JVA112U 11/5</t>
    <phoneticPr fontId="1" type="noConversion"/>
  </si>
  <si>
    <t>B09B 3VA080U 17/5</t>
    <phoneticPr fontId="1" type="noConversion"/>
  </si>
  <si>
    <t>BMC03 VA022 12/5</t>
    <phoneticPr fontId="1" type="noConversion"/>
  </si>
  <si>
    <t>SGR51370A(CR) 3VA003 11/5</t>
    <phoneticPr fontId="1" type="noConversion"/>
  </si>
  <si>
    <t>B08 VA066 12/5</t>
    <phoneticPr fontId="1" type="noConversion"/>
  </si>
  <si>
    <t>BCVC04B 3VA059U 13/5</t>
    <phoneticPr fontId="1" type="noConversion"/>
  </si>
  <si>
    <t>BCVC09B JVA023 15/5</t>
    <phoneticPr fontId="1" type="noConversion"/>
  </si>
  <si>
    <t>B1124(C60/ETB40) 3VA006U 14/5</t>
    <phoneticPr fontId="1" type="noConversion"/>
  </si>
  <si>
    <t>BCVC04B  3VA060U 13/5</t>
    <phoneticPr fontId="1" type="noConversion"/>
  </si>
  <si>
    <t>BM14B  VA001U 13/5</t>
    <phoneticPr fontId="1" type="noConversion"/>
  </si>
  <si>
    <t>BTE(LF)1004 VA001U 15/5</t>
    <phoneticPr fontId="1" type="noConversion"/>
  </si>
  <si>
    <t>BCVC(40ETB)104 VA034U 16/5</t>
    <phoneticPr fontId="1" type="noConversion"/>
  </si>
  <si>
    <t>B06A(BOC10) 3JVA012U  15/5</t>
    <phoneticPr fontId="1" type="noConversion"/>
  </si>
  <si>
    <t>B1124P(EA25)  3VA001U  12/5</t>
    <phoneticPr fontId="1" type="noConversion"/>
  </si>
  <si>
    <t>B1019 VA107U 13/5</t>
    <phoneticPr fontId="1" type="noConversion"/>
  </si>
  <si>
    <t>BPM(50)1067  VA001U 16/5</t>
    <phoneticPr fontId="1" type="noConversion"/>
  </si>
  <si>
    <t>B04B(AA) TJVA011U 14/5</t>
    <phoneticPr fontId="1" type="noConversion"/>
  </si>
  <si>
    <t>BPM1069  JVA082U  16/5</t>
    <phoneticPr fontId="1" type="noConversion"/>
  </si>
  <si>
    <t>B06A(FH18)(BOC10)  TJVA082UY   1/6</t>
    <phoneticPr fontId="1" type="noConversion"/>
  </si>
  <si>
    <t>BM(100)1047  VA002U  16/5</t>
    <phoneticPr fontId="1" type="noConversion"/>
  </si>
  <si>
    <t>B6CXA(BOC10-U)  TJVA001UY 15/5</t>
    <phoneticPr fontId="1" type="noConversion"/>
  </si>
  <si>
    <t>B0459 VA021 16/5</t>
    <phoneticPr fontId="1" type="noConversion"/>
  </si>
  <si>
    <t>B1016(OCN)  3VA001U 14/5</t>
    <phoneticPr fontId="1" type="noConversion"/>
  </si>
  <si>
    <t>BPL(20)1068 JVA006 16/5</t>
    <phoneticPr fontId="1" type="noConversion"/>
  </si>
  <si>
    <t>SA240821BU VA001U 16/5</t>
    <phoneticPr fontId="1" type="noConversion"/>
  </si>
  <si>
    <t>B08 VA066 15/5</t>
    <phoneticPr fontId="1" type="noConversion"/>
  </si>
  <si>
    <t>B08 VA066 16/5</t>
    <phoneticPr fontId="1" type="noConversion"/>
  </si>
  <si>
    <t>SA170299A(AA-U)  JVA002U 17/5</t>
    <phoneticPr fontId="1" type="noConversion"/>
  </si>
  <si>
    <t>B1V10(TC) VA030  14/5</t>
    <phoneticPr fontId="1" type="noConversion"/>
  </si>
  <si>
    <t>SA229124B VA008 12/5</t>
    <phoneticPr fontId="1" type="noConversion"/>
  </si>
  <si>
    <t>B8280 VA025  11/5</t>
    <phoneticPr fontId="1" type="noConversion"/>
  </si>
  <si>
    <t>B0656 VA010 15/5</t>
    <phoneticPr fontId="1" type="noConversion"/>
  </si>
  <si>
    <t>B0714  VA015 16/5</t>
    <phoneticPr fontId="1" type="noConversion"/>
  </si>
  <si>
    <t>B6837 VA021 16/5</t>
    <phoneticPr fontId="1" type="noConversion"/>
  </si>
  <si>
    <t>B6856(OCN) VA001 17/5</t>
    <phoneticPr fontId="1" type="noConversion"/>
  </si>
  <si>
    <t>BCVC07B 3JVA073U 19/5</t>
    <phoneticPr fontId="1" type="noConversion"/>
  </si>
  <si>
    <t>B11B VA077U 18/5</t>
    <phoneticPr fontId="1" type="noConversion"/>
  </si>
  <si>
    <t>B1067  3VA100U 19/5</t>
    <phoneticPr fontId="1" type="noConversion"/>
  </si>
  <si>
    <t>B06A(BOC10)  VA013U  19/5</t>
    <phoneticPr fontId="1" type="noConversion"/>
  </si>
  <si>
    <t>B07B VA112 23/5 (GIAO 754588.87 LB 31T 29/5,6/6)  KTHUC 17/5</t>
    <phoneticPr fontId="1" type="noConversion"/>
  </si>
  <si>
    <t>BCVC110(AA) VA001 19/5</t>
    <phoneticPr fontId="1" type="noConversion"/>
  </si>
  <si>
    <t>B1004(C60/ETB40) 3VA007U 31/5</t>
    <phoneticPr fontId="1" type="noConversion"/>
  </si>
  <si>
    <t>B14B VA006 18/5</t>
    <phoneticPr fontId="1" type="noConversion"/>
  </si>
  <si>
    <t>SA210398CU 3VA013U 18/5</t>
    <phoneticPr fontId="1" type="noConversion"/>
  </si>
  <si>
    <t>B1124(AA) JVA002UM 18/5</t>
    <phoneticPr fontId="1" type="noConversion"/>
  </si>
  <si>
    <t>BPM1069 3VA081U 17/5</t>
    <phoneticPr fontId="1" type="noConversion"/>
  </si>
  <si>
    <t>B1V20 3VA048 17/5</t>
    <phoneticPr fontId="1" type="noConversion"/>
  </si>
  <si>
    <t>BA37L(U)  TJVA120U 24/5</t>
    <phoneticPr fontId="1" type="noConversion"/>
  </si>
  <si>
    <t>BPM6837 VA007 18/5</t>
    <phoneticPr fontId="1" type="noConversion"/>
  </si>
  <si>
    <t>BAB087 VA008 SỢI B-A 19/5</t>
    <phoneticPr fontId="1" type="noConversion"/>
  </si>
  <si>
    <t>BM(100)0459(AA) JVA001 19/5</t>
    <phoneticPr fontId="1" type="noConversion"/>
  </si>
  <si>
    <t>B0423  VA031  20/5</t>
    <phoneticPr fontId="1" type="noConversion"/>
  </si>
  <si>
    <t>B0460 VA026  20/5</t>
    <phoneticPr fontId="1" type="noConversion"/>
  </si>
  <si>
    <t>B14B(OCN) 3VA002U 24/5</t>
    <phoneticPr fontId="1" type="noConversion"/>
  </si>
  <si>
    <t>B14B(OCR)  JVA004UUA 23/5</t>
    <phoneticPr fontId="1" type="noConversion"/>
  </si>
  <si>
    <t>B1004  3VA176U 22/5</t>
    <phoneticPr fontId="1" type="noConversion"/>
  </si>
  <si>
    <t>SA200871AU 3VA053U 26/5</t>
    <phoneticPr fontId="1" type="noConversion"/>
  </si>
  <si>
    <t>BVA004E  VA008U+VA009U 21/5</t>
    <phoneticPr fontId="1" type="noConversion"/>
  </si>
  <si>
    <t>BCVC(50)1019 VA001 20/5</t>
    <phoneticPr fontId="1" type="noConversion"/>
  </si>
  <si>
    <t>BCVC109  VA004U 20/5</t>
    <phoneticPr fontId="1" type="noConversion"/>
  </si>
  <si>
    <t>BCVC07B 3JVA074U 26/5</t>
    <phoneticPr fontId="1" type="noConversion"/>
  </si>
  <si>
    <t>BMC03 VA023 21/5</t>
    <phoneticPr fontId="1" type="noConversion"/>
  </si>
  <si>
    <t>B1V10(Tc) VA031 22/5</t>
    <phoneticPr fontId="1" type="noConversion"/>
  </si>
  <si>
    <t>BPM6865 VA007M 25/5</t>
    <phoneticPr fontId="1" type="noConversion"/>
  </si>
  <si>
    <t>SA229142BU-OE  VA010U  2CA 24/6</t>
    <phoneticPr fontId="1" type="noConversion"/>
  </si>
  <si>
    <t>20/6.</t>
    <phoneticPr fontId="1" type="noConversion"/>
  </si>
  <si>
    <t>B1067-OE  3VA102UUS 2T 1/7,2/7</t>
    <phoneticPr fontId="1" type="noConversion"/>
  </si>
  <si>
    <t>BCVC(50)8188 VA001 21/5</t>
    <phoneticPr fontId="1" type="noConversion"/>
  </si>
  <si>
    <t>B04B(C60/ERT40) VA005U 21/5</t>
    <phoneticPr fontId="1" type="noConversion"/>
  </si>
  <si>
    <t>B09B(C60/ETB40) VA011U 1/6</t>
    <phoneticPr fontId="1" type="noConversion"/>
  </si>
  <si>
    <t>B8849VA009 23/5</t>
    <phoneticPr fontId="1" type="noConversion"/>
  </si>
  <si>
    <t>B2652 VA032U 20/5</t>
    <phoneticPr fontId="1" type="noConversion"/>
  </si>
  <si>
    <t>B1068  VA113U 20/5</t>
    <phoneticPr fontId="1" type="noConversion"/>
  </si>
  <si>
    <t>B11B VA078U 21/5</t>
    <phoneticPr fontId="1" type="noConversion"/>
  </si>
  <si>
    <t>BN091AC54/ERN20/ERT20/OC6-U TVA005UY 1/6</t>
    <phoneticPr fontId="1" type="noConversion"/>
  </si>
  <si>
    <t>SGR82938A(BOC10-U) VA002U 21/5</t>
    <phoneticPr fontId="1" type="noConversion"/>
  </si>
  <si>
    <t>B1124(AA) JVA003U 21/5</t>
    <phoneticPr fontId="1" type="noConversion"/>
  </si>
  <si>
    <t>B04B(AA) TJVA012U 23/5</t>
    <phoneticPr fontId="1" type="noConversion"/>
  </si>
  <si>
    <t>BCVC04B  VA061U 31/5</t>
    <phoneticPr fontId="1" type="noConversion"/>
  </si>
  <si>
    <t>B1124(C60/ETB40) VA007U 31/5</t>
    <phoneticPr fontId="1" type="noConversion"/>
  </si>
  <si>
    <t>B0459 VA022UUA 23/5</t>
    <phoneticPr fontId="1" type="noConversion"/>
  </si>
  <si>
    <t>B1062(RE100) VA001U 26/5</t>
    <phoneticPr fontId="1" type="noConversion"/>
  </si>
  <si>
    <t>B1047(RE100)  VA001U 26/5</t>
    <phoneticPr fontId="1" type="noConversion"/>
  </si>
  <si>
    <t>B1124(AA) JVA004U 265</t>
    <phoneticPr fontId="1" type="noConversion"/>
  </si>
  <si>
    <t>BA37L(U)  TJVA121U 23/5</t>
    <phoneticPr fontId="1" type="noConversion"/>
  </si>
  <si>
    <t>B09B  VA081U  23/5</t>
    <phoneticPr fontId="1" type="noConversion"/>
  </si>
  <si>
    <t>B1069(OCN) VA029 24/5</t>
    <phoneticPr fontId="1" type="noConversion"/>
  </si>
  <si>
    <t>BPM(50)1068 VA003 24/5</t>
    <phoneticPr fontId="1" type="noConversion"/>
  </si>
  <si>
    <t>SA162273A(TC-U)  3VA016U 24/5</t>
    <phoneticPr fontId="1" type="noConversion"/>
  </si>
  <si>
    <t>SA162273A(U)  VA131U 23/5</t>
    <phoneticPr fontId="1" type="noConversion"/>
  </si>
  <si>
    <t>B1052(OCN) VA002U 24/5</t>
    <phoneticPr fontId="1" type="noConversion"/>
  </si>
  <si>
    <t>B1115(AA)  JVA001U 24/5</t>
    <phoneticPr fontId="1" type="noConversion"/>
  </si>
  <si>
    <t>BCVC103 VA020U 27/5</t>
    <phoneticPr fontId="1" type="noConversion"/>
  </si>
  <si>
    <t>BTR04B JVA005U 27/5</t>
    <phoneticPr fontId="1" type="noConversion"/>
  </si>
  <si>
    <t>BCVC6865 3VA006 27/5</t>
    <phoneticPr fontId="1" type="noConversion"/>
  </si>
  <si>
    <t>SA170299A(U)  JVA029U 26/5</t>
    <phoneticPr fontId="1" type="noConversion"/>
  </si>
  <si>
    <t>B1069(OCN) VA030 26/5</t>
    <phoneticPr fontId="1" type="noConversion"/>
  </si>
  <si>
    <t>B0284(OCN) VA009U 6/6</t>
    <phoneticPr fontId="1" type="noConversion"/>
  </si>
  <si>
    <t>B1069 VA154U 26/5</t>
    <phoneticPr fontId="1" type="noConversion"/>
  </si>
  <si>
    <t>B1029 VA023U 26/5</t>
    <phoneticPr fontId="1" type="noConversion"/>
  </si>
  <si>
    <t>B1124(C60/ERT40) VA001 27/5</t>
    <phoneticPr fontId="1" type="noConversion"/>
  </si>
  <si>
    <t>BPM6865 VA008 31/5</t>
    <phoneticPr fontId="1" type="noConversion"/>
  </si>
  <si>
    <t>B1123(AA) JVA001U 28/5</t>
    <phoneticPr fontId="1" type="noConversion"/>
  </si>
  <si>
    <t>BA37L(CR20-AA-U) TJVA004u 28/5</t>
    <phoneticPr fontId="1" type="noConversion"/>
  </si>
  <si>
    <t>BA37L(U) TJVA122U 29/5</t>
    <phoneticPr fontId="1" type="noConversion"/>
  </si>
  <si>
    <t>B14B VA067 29/5</t>
    <phoneticPr fontId="1" type="noConversion"/>
  </si>
  <si>
    <t>BOC14B JVA003U 30/5</t>
    <phoneticPr fontId="1" type="noConversion"/>
  </si>
  <si>
    <t>B1069 3VA153UUA 1/6</t>
    <phoneticPr fontId="1" type="noConversion"/>
  </si>
  <si>
    <t>SA200871ACVC-U VA033U 31/5</t>
    <phoneticPr fontId="1" type="noConversion"/>
  </si>
  <si>
    <t>B07B VA115U 17/7 (đơn hàng 15/6)</t>
    <phoneticPr fontId="1" type="noConversion"/>
  </si>
  <si>
    <t>B6792 VA001 30/5</t>
    <phoneticPr fontId="1" type="noConversion"/>
  </si>
  <si>
    <t>BN091AC54/ERN20/ERT20/OC6-U TVA005UY 30/5</t>
    <phoneticPr fontId="1" type="noConversion"/>
  </si>
  <si>
    <t>B06A(FH18)(BOC20-AA)  TJVA012UY 1/6</t>
    <phoneticPr fontId="1" type="noConversion"/>
  </si>
  <si>
    <t>B12B VA132U 45T 7/6,13/6,20/6 (LÔ TRC NKHO 100.000LB) 3/6</t>
    <phoneticPr fontId="1" type="noConversion"/>
  </si>
  <si>
    <t>SA155794D(ER10-XY-U) 3VA007U SỢI X 31/5</t>
    <phoneticPr fontId="1" type="noConversion"/>
  </si>
  <si>
    <t>B11B VA079U 31/5</t>
    <phoneticPr fontId="1" type="noConversion"/>
  </si>
  <si>
    <t>BA37L(U) JVA124U 1/6</t>
    <phoneticPr fontId="1" type="noConversion"/>
  </si>
  <si>
    <t>THỰC TẾ</t>
    <phoneticPr fontId="1" type="noConversion"/>
  </si>
  <si>
    <t>SA160056A(U)-OE  3VA031U 15T 26/6,11/7</t>
    <phoneticPr fontId="1" type="noConversion"/>
  </si>
  <si>
    <t>BN091AC54/ERN20ERT20OC6-U-OE  TVA008UY 1.5T 6/6</t>
    <phoneticPr fontId="1" type="noConversion"/>
  </si>
  <si>
    <t>25/5.</t>
    <phoneticPr fontId="1" type="noConversion"/>
  </si>
  <si>
    <t>SA160056A(U)-OE  3VA029U 26T 22/5-17/6</t>
    <phoneticPr fontId="1" type="noConversion"/>
  </si>
  <si>
    <t>22/5-10/6</t>
    <phoneticPr fontId="1" type="noConversion"/>
  </si>
  <si>
    <t>SA160056A(U)-OE  3VA030U 29/6</t>
    <phoneticPr fontId="1" type="noConversion"/>
  </si>
  <si>
    <t>15/6.</t>
    <phoneticPr fontId="1" type="noConversion"/>
  </si>
  <si>
    <t>SA200871AC60/ERT40-U-OE  3VA007U 2T 17/6,30/6</t>
    <phoneticPr fontId="1" type="noConversion"/>
  </si>
  <si>
    <t>12/6-13/6.</t>
    <phoneticPr fontId="1" type="noConversion"/>
  </si>
  <si>
    <t>31/5.</t>
    <phoneticPr fontId="1" type="noConversion"/>
  </si>
  <si>
    <t>B1067-OE  3VA101U 5T 17/6,30/6</t>
    <phoneticPr fontId="1" type="noConversion"/>
  </si>
  <si>
    <t>12/6-17/6</t>
    <phoneticPr fontId="1" type="noConversion"/>
  </si>
  <si>
    <t>B2652-OE  TVA034U  1T 7/6</t>
    <phoneticPr fontId="1" type="noConversion"/>
  </si>
  <si>
    <t>BCVCC02 VA044 24/5</t>
    <phoneticPr fontId="1" type="noConversion"/>
  </si>
  <si>
    <t>BAB037(C70/ERT30) JVA001U soi A 2/6</t>
    <phoneticPr fontId="1" type="noConversion"/>
  </si>
  <si>
    <t>BCVC11B VA117U 2/6</t>
    <phoneticPr fontId="1" type="noConversion"/>
  </si>
  <si>
    <t>BAB037(C70/ERT30) JVA001U soi B 3/6</t>
    <phoneticPr fontId="1" type="noConversion"/>
  </si>
  <si>
    <t>BCVC(40ETB)104 VA035 31/5</t>
    <phoneticPr fontId="1" type="noConversion"/>
  </si>
  <si>
    <t>BCVC(50)1069 VA005U 31/5</t>
    <phoneticPr fontId="1" type="noConversion"/>
  </si>
  <si>
    <t>SA155794D(ER10-XY-U) 3VA007U XY 1/6</t>
    <phoneticPr fontId="1" type="noConversion"/>
  </si>
  <si>
    <t>BCVC04B VA062U 2/6</t>
    <phoneticPr fontId="1" type="noConversion"/>
  </si>
  <si>
    <t>BM12B 3VA042U 31/5</t>
    <phoneticPr fontId="1" type="noConversion"/>
  </si>
  <si>
    <t>BTC12B 3VA045U 27/5</t>
    <phoneticPr fontId="1" type="noConversion"/>
  </si>
  <si>
    <t>B12B VA132U 45T 7/6,13/6,20/6 (LÔ TRC NKHO 100.000LB) 1/6</t>
    <phoneticPr fontId="1" type="noConversion"/>
  </si>
  <si>
    <t>BUM040AERC30-NP-AA-U TJVA001U 4/6</t>
    <phoneticPr fontId="1" type="noConversion"/>
  </si>
  <si>
    <t>BCVC(40ETB)104 VA036 4/6</t>
    <phoneticPr fontId="1" type="noConversion"/>
  </si>
  <si>
    <t>B04B(C60/ETB40) JVA002U 5/6</t>
    <phoneticPr fontId="1" type="noConversion"/>
  </si>
  <si>
    <t>B1019 3JVA108U 2/6</t>
    <phoneticPr fontId="1" type="noConversion"/>
  </si>
  <si>
    <t>B2659 VA023U 3/6</t>
    <phoneticPr fontId="1" type="noConversion"/>
  </si>
  <si>
    <t>BUM039AERC30-NP-AA-U  TJVA001U 4/6</t>
    <phoneticPr fontId="1" type="noConversion"/>
  </si>
  <si>
    <t>SA192462AU VA007U 4/6</t>
    <phoneticPr fontId="1" type="noConversion"/>
  </si>
  <si>
    <t>BCVCAB072 3VA002U SỢI A 4/6</t>
    <phoneticPr fontId="1" type="noConversion"/>
  </si>
  <si>
    <t>BCVCAB072 3VA002U SỢI B 5/6</t>
    <phoneticPr fontId="1" type="noConversion"/>
  </si>
  <si>
    <t>B1004 VA179U 7/6</t>
    <phoneticPr fontId="1" type="noConversion"/>
  </si>
  <si>
    <t>B06A(BOC10) JVA014U 6/6</t>
    <phoneticPr fontId="1" type="noConversion"/>
  </si>
  <si>
    <t>B02B VA114U 5/6</t>
    <phoneticPr fontId="1" type="noConversion"/>
  </si>
  <si>
    <t>BA37L(U) VA125U 6/6</t>
    <phoneticPr fontId="1" type="noConversion"/>
  </si>
  <si>
    <t>B1067 VA103U  5/6</t>
    <phoneticPr fontId="1" type="noConversion"/>
  </si>
  <si>
    <t>B06B VA056 1CA 6/6</t>
    <phoneticPr fontId="1" type="noConversion"/>
  </si>
  <si>
    <t>4/6.</t>
    <phoneticPr fontId="1" type="noConversion"/>
  </si>
  <si>
    <t>5/6.</t>
    <phoneticPr fontId="1" type="noConversion"/>
  </si>
  <si>
    <t>15/6.</t>
    <phoneticPr fontId="1" type="noConversion"/>
  </si>
  <si>
    <t>B06A(FH18)(BOC20-AA)  TJVA013UY 8/6</t>
    <phoneticPr fontId="1" type="noConversion"/>
  </si>
  <si>
    <t>B2652 TJVA033U  11/6</t>
    <phoneticPr fontId="1" type="noConversion"/>
  </si>
  <si>
    <t>B1068(OCN)  VA009U 7/6</t>
    <phoneticPr fontId="1" type="noConversion"/>
  </si>
  <si>
    <t>BOC1067 VA005U 6/6</t>
    <phoneticPr fontId="1" type="noConversion"/>
  </si>
  <si>
    <t>B1069 VA156U 66</t>
    <phoneticPr fontId="1" type="noConversion"/>
  </si>
  <si>
    <t>BPL(20)1068 JVA007U 6/6</t>
    <phoneticPr fontId="1" type="noConversion"/>
  </si>
  <si>
    <t>BCVC(35)103  VA00U 6/6</t>
    <phoneticPr fontId="1" type="noConversion"/>
  </si>
  <si>
    <t>BVCV04B VA063U 6/6</t>
    <phoneticPr fontId="1" type="noConversion"/>
  </si>
  <si>
    <t>B1004(C60/ETB40) VA008U 7/6</t>
    <phoneticPr fontId="1" type="noConversion"/>
  </si>
  <si>
    <t>B04B(AA) TJVA013U 8/6</t>
    <phoneticPr fontId="1" type="noConversion"/>
  </si>
  <si>
    <t>BA37L(U) 3VA126U 10/6</t>
    <phoneticPr fontId="1" type="noConversion"/>
  </si>
  <si>
    <t>BE(50LF)2659 VA001U 9/6</t>
    <phoneticPr fontId="1" type="noConversion"/>
  </si>
  <si>
    <t>B1124(C60/ETB40)  JVA008U 10/6</t>
    <phoneticPr fontId="1" type="noConversion"/>
  </si>
  <si>
    <t>BPM(20)0475 TJVA001U CHẠY TRC 61.7LB 9/6</t>
    <phoneticPr fontId="1" type="noConversion"/>
  </si>
  <si>
    <t>BA37L(OCN-U) 3VA002U 14/6</t>
    <phoneticPr fontId="1" type="noConversion"/>
  </si>
  <si>
    <t>BCVC0284 VA016 9/6</t>
    <phoneticPr fontId="1" type="noConversion"/>
  </si>
  <si>
    <t>SO41269AU() JVA025 10/6</t>
    <phoneticPr fontId="1" type="noConversion"/>
  </si>
  <si>
    <t>BA37L(CR20-AA-U) TJVA005U 9/6</t>
    <phoneticPr fontId="1" type="noConversion"/>
  </si>
  <si>
    <t>B02B VA115U 10/6</t>
    <phoneticPr fontId="1" type="noConversion"/>
  </si>
  <si>
    <t>BPL1034 3VA003U  10/6</t>
    <phoneticPr fontId="1" type="noConversion"/>
  </si>
  <si>
    <t>BM12B  JVA043U 12/6</t>
    <phoneticPr fontId="1" type="noConversion"/>
  </si>
  <si>
    <t>B04B(C60/ERT40) VA006U 13/6</t>
    <phoneticPr fontId="1" type="noConversion"/>
  </si>
  <si>
    <t>B6CXA(BOC10-U) TJVA002UY 12/6</t>
    <phoneticPr fontId="1" type="noConversion"/>
  </si>
  <si>
    <t>BOC14B JVA006U 13/6</t>
    <phoneticPr fontId="1" type="noConversion"/>
  </si>
  <si>
    <t>BOC14B JVA006U 11/6</t>
    <phoneticPr fontId="1" type="noConversion"/>
  </si>
  <si>
    <t>B1052 3VA030U 17/6 LÊN SAU NGƯNG</t>
    <phoneticPr fontId="1" type="noConversion"/>
  </si>
  <si>
    <t>BA37L(U) TJVA123U 15/6</t>
    <phoneticPr fontId="1" type="noConversion"/>
  </si>
  <si>
    <t>B04B(AA) TJVA014U 13/6</t>
    <phoneticPr fontId="1" type="noConversion"/>
  </si>
  <si>
    <t>B1068(OCN) VA010U 14/6</t>
    <phoneticPr fontId="1" type="noConversion"/>
  </si>
  <si>
    <t>SGR82938A(BOC-U)  VA003U 15/6</t>
    <phoneticPr fontId="1" type="noConversion"/>
  </si>
  <si>
    <t>BCVC11B VA118U 13/6</t>
    <phoneticPr fontId="1" type="noConversion"/>
  </si>
  <si>
    <t>BCVC(40ETB)104 VA037U 12/6</t>
    <phoneticPr fontId="1" type="noConversion"/>
  </si>
  <si>
    <t>B1052 3VA030U chạy hết cúi hh cúi màu lưu 15/6</t>
    <phoneticPr fontId="1" type="noConversion"/>
  </si>
  <si>
    <t>SA170299A(BM100-AA-U) JVA002UM1 18/5</t>
    <phoneticPr fontId="1" type="noConversion"/>
  </si>
  <si>
    <t>BM12B VA044U 13/6</t>
    <phoneticPr fontId="1" type="noConversion"/>
  </si>
  <si>
    <t>BM(100M)1019  3JVA004U 13/6</t>
    <phoneticPr fontId="1" type="noConversion"/>
  </si>
  <si>
    <t>SA200871AU JVA054U 15/6</t>
    <phoneticPr fontId="1" type="noConversion"/>
  </si>
  <si>
    <t>SO41269AU(BPM20-U) TJVA015U 18/6</t>
    <phoneticPr fontId="1" type="noConversion"/>
  </si>
  <si>
    <t>BCVC0284 VA017  16/6</t>
    <phoneticPr fontId="1" type="noConversion"/>
  </si>
  <si>
    <t>B06A(BOC10) 3JVA015U 16/6</t>
    <phoneticPr fontId="1" type="noConversion"/>
  </si>
  <si>
    <t>B1019 VA109U 14/6</t>
    <phoneticPr fontId="1" type="noConversion"/>
  </si>
  <si>
    <t>B12B(OCN) VA001 13/6</t>
    <phoneticPr fontId="1" type="noConversion"/>
  </si>
  <si>
    <t>B1019(C60/ERT40) VA001U 16/6</t>
    <phoneticPr fontId="1" type="noConversion"/>
  </si>
  <si>
    <t>BCVC06B VA024U 16/6</t>
    <phoneticPr fontId="1" type="noConversion"/>
  </si>
  <si>
    <t>BTC12B  3VA046U 15/6</t>
    <phoneticPr fontId="1" type="noConversion"/>
  </si>
  <si>
    <t>BM(100M)1019 JVA005U 17/6</t>
    <phoneticPr fontId="1" type="noConversion"/>
  </si>
  <si>
    <t>BM07B JVA012U 17/6</t>
    <phoneticPr fontId="1" type="noConversion"/>
  </si>
  <si>
    <t>BCVC1067 VA018U 16/6</t>
    <phoneticPr fontId="1" type="noConversion"/>
  </si>
  <si>
    <t>BCVC(40ETB)104 VA038U 18/6</t>
    <phoneticPr fontId="1" type="noConversion"/>
  </si>
  <si>
    <t>BCVC(50)1062 VA001U 19/6</t>
    <phoneticPr fontId="1" type="noConversion"/>
  </si>
  <si>
    <t>B1124(C60/ETB40)  JVA009U 26/6</t>
    <phoneticPr fontId="1" type="noConversion"/>
  </si>
  <si>
    <t>B06A(BOC10) 3JVA016U 17/6</t>
    <phoneticPr fontId="1" type="noConversion"/>
  </si>
  <si>
    <t>BA37L(U)  JVA127U 16/6</t>
    <phoneticPr fontId="1" type="noConversion"/>
  </si>
  <si>
    <t>B1069 TJVA155U 16/6</t>
    <phoneticPr fontId="1" type="noConversion"/>
  </si>
  <si>
    <t>B0284O(CN) VA010U 19/6</t>
    <phoneticPr fontId="1" type="noConversion"/>
  </si>
  <si>
    <t>BM1052(S) VA001U 18/6</t>
    <phoneticPr fontId="1" type="noConversion"/>
  </si>
  <si>
    <t>SA170299A(CVC-U)  VA026U 19/6</t>
    <phoneticPr fontId="1" type="noConversion"/>
  </si>
  <si>
    <t>B2652 VA035U 19/6</t>
    <phoneticPr fontId="1" type="noConversion"/>
  </si>
  <si>
    <t>BM(50)11B  VA001 19/6</t>
    <phoneticPr fontId="1" type="noConversion"/>
  </si>
  <si>
    <t>BM(70007B VA001U 19/6</t>
    <phoneticPr fontId="1" type="noConversion"/>
  </si>
  <si>
    <t>BCVC12B VA065U 17/6</t>
    <phoneticPr fontId="1" type="noConversion"/>
  </si>
  <si>
    <t>SA229141DCVC-U  VA008U 18/6</t>
    <phoneticPr fontId="1" type="noConversion"/>
  </si>
  <si>
    <t>B1069 VA157U 19/6</t>
    <phoneticPr fontId="1" type="noConversion"/>
  </si>
  <si>
    <t>B1019  VA110U 20/6</t>
    <phoneticPr fontId="1" type="noConversion"/>
  </si>
  <si>
    <t>B2652(C60/ERT40-AA) TJVA001U 21/6</t>
    <phoneticPr fontId="1" type="noConversion"/>
  </si>
  <si>
    <t>B0423(OCR)  3VA001U 19/6</t>
    <phoneticPr fontId="1" type="noConversion"/>
  </si>
  <si>
    <t>SA180324B(U) 3VA032U 19/6</t>
    <phoneticPr fontId="1" type="noConversion"/>
  </si>
  <si>
    <t>BA37L(U) VA128U 21/6</t>
    <phoneticPr fontId="1" type="noConversion"/>
  </si>
  <si>
    <t>B1067 VA104U 22/6</t>
    <phoneticPr fontId="1" type="noConversion"/>
  </si>
  <si>
    <t>B1068(OCN) 3VA011U 21/6</t>
    <phoneticPr fontId="1" type="noConversion"/>
  </si>
  <si>
    <t>B1068 JVA114U 22/6</t>
    <phoneticPr fontId="1" type="noConversion"/>
  </si>
  <si>
    <t>SR215328ABPM50-U VA007UUS 21/6</t>
    <phoneticPr fontId="1" type="noConversion"/>
  </si>
  <si>
    <t>BCVC02B  JVA004U  22/6</t>
    <phoneticPr fontId="1" type="noConversion"/>
  </si>
  <si>
    <t>BM(100)1052  3VA0003U 23/6</t>
    <phoneticPr fontId="1" type="noConversion"/>
  </si>
  <si>
    <t>B1004 3VA181UUA  23/6</t>
    <phoneticPr fontId="1" type="noConversion"/>
  </si>
  <si>
    <t>SO41269A(U) 3JVA026U 22/6</t>
    <phoneticPr fontId="1" type="noConversion"/>
  </si>
  <si>
    <t>B14B(OCR) JVA005U 24/6</t>
    <phoneticPr fontId="1" type="noConversion"/>
  </si>
  <si>
    <t>B1016 VA038U 22/6</t>
    <phoneticPr fontId="1" type="noConversion"/>
  </si>
  <si>
    <t>B06A(FH18)(BOC10)  TJVA083UY+TJVA084UY   24/6</t>
    <phoneticPr fontId="1" type="noConversion"/>
  </si>
  <si>
    <t>B1115 JVA007U 26/6</t>
    <phoneticPr fontId="1" type="noConversion"/>
  </si>
  <si>
    <t>B06B JVA057UM1 25/6</t>
    <phoneticPr fontId="1" type="noConversion"/>
  </si>
  <si>
    <t>B06A(FH18)(BOC20-AA)  TJVA014UY 25/6</t>
    <phoneticPr fontId="1" type="noConversion"/>
  </si>
  <si>
    <t>BCVC0284 VA018M1  25/6</t>
    <phoneticPr fontId="1" type="noConversion"/>
  </si>
  <si>
    <t>BM1105(BOC-AA)  VA001U 25/6</t>
    <phoneticPr fontId="1" type="noConversion"/>
  </si>
  <si>
    <t>BCVC04B  VA064U 26/6</t>
    <phoneticPr fontId="1" type="noConversion"/>
  </si>
  <si>
    <t>B1069 VA159UUS 26/6</t>
    <phoneticPr fontId="1" type="noConversion"/>
  </si>
  <si>
    <t>BCVC(5)1068 3VA015U 29/6</t>
    <phoneticPr fontId="1" type="noConversion"/>
  </si>
  <si>
    <t>B1030 VA017U 26/6</t>
    <phoneticPr fontId="1" type="noConversion"/>
  </si>
  <si>
    <t>BCVC1004  JVA019U 27/6</t>
    <phoneticPr fontId="1" type="noConversion"/>
  </si>
  <si>
    <t>BCVC11B  3VA119U 27/6</t>
    <phoneticPr fontId="1" type="noConversion"/>
  </si>
  <si>
    <t>B2652 3VA036U 26/6</t>
    <phoneticPr fontId="1" type="noConversion"/>
  </si>
  <si>
    <t>BA37L(U) JVA130U 26/6</t>
    <phoneticPr fontId="1" type="noConversion"/>
  </si>
  <si>
    <t>B09B VA082U 2/7</t>
    <phoneticPr fontId="1" type="noConversion"/>
  </si>
  <si>
    <t>SA180324B(U)  3VA033U 1/7</t>
    <phoneticPr fontId="1" type="noConversion"/>
  </si>
  <si>
    <t>B0459  VA023UUA 27/6</t>
    <phoneticPr fontId="1" type="noConversion"/>
  </si>
  <si>
    <t>B04B VA083 12/7</t>
    <phoneticPr fontId="1" type="noConversion"/>
  </si>
  <si>
    <t>SA170299A(U)  VA030 27/6</t>
    <phoneticPr fontId="1" type="noConversion"/>
  </si>
  <si>
    <t>B1069 VA158U 26/6</t>
    <phoneticPr fontId="1" type="noConversion"/>
  </si>
  <si>
    <t>B1016(OCR) 3VA001UUA 28/6</t>
    <phoneticPr fontId="1" type="noConversion"/>
  </si>
  <si>
    <t>BCVC1067 VA019U 27/6</t>
    <phoneticPr fontId="1" type="noConversion"/>
  </si>
  <si>
    <t>B1069(OCN) JVA031U 28/6</t>
    <phoneticPr fontId="1" type="noConversion"/>
  </si>
  <si>
    <t>B1069(AA) VA016U 28/6</t>
    <phoneticPr fontId="1" type="noConversion"/>
  </si>
  <si>
    <t>B1124P(EA25) VA002U 29/6</t>
    <phoneticPr fontId="1" type="noConversion"/>
  </si>
  <si>
    <t>BM0284 VA013U 28/6</t>
    <phoneticPr fontId="1" type="noConversion"/>
  </si>
  <si>
    <t>BSB4041AERT50/C25/R25-EY-U TJVA001U 2/7</t>
    <phoneticPr fontId="1" type="noConversion"/>
  </si>
  <si>
    <t>B14B VA068 27/6</t>
    <phoneticPr fontId="1" type="noConversion"/>
  </si>
  <si>
    <t>BSB4041AERT50/C25/R25-EY-U TJVA001U SỢI X 28/6</t>
    <phoneticPr fontId="1" type="noConversion"/>
  </si>
  <si>
    <t>SA155794D(ER10-XY-U)  3VA008U SỢI X 29/6</t>
    <phoneticPr fontId="1" type="noConversion"/>
  </si>
  <si>
    <t>BUM044AERC30-AA-U  TJVA001U 2/7</t>
    <phoneticPr fontId="1" type="noConversion"/>
  </si>
  <si>
    <t>SA155794D(ER10-XY-U)  3VA008U 29/6</t>
    <phoneticPr fontId="1" type="noConversion"/>
  </si>
  <si>
    <t>B1069 VA160U 30/6</t>
    <phoneticPr fontId="1" type="noConversion"/>
  </si>
  <si>
    <t>SO41269A(U) VA027U 1/7</t>
    <phoneticPr fontId="1" type="noConversion"/>
  </si>
  <si>
    <t>BOC0459H VA001UH 28/6</t>
    <phoneticPr fontId="1" type="noConversion"/>
  </si>
  <si>
    <t>B0475 TJVA014U 29/6</t>
    <phoneticPr fontId="1" type="noConversion"/>
  </si>
  <si>
    <t>BPM(20)0475 TJVA001U 9/7</t>
    <phoneticPr fontId="1" type="noConversion"/>
  </si>
  <si>
    <t>B1025 VA016U 30/6</t>
    <phoneticPr fontId="1" type="noConversion"/>
  </si>
  <si>
    <t>B1047 VA025U 10/7</t>
    <phoneticPr fontId="1" type="noConversion"/>
  </si>
  <si>
    <t>B06A(BOC10) JVA017U 7/7</t>
    <phoneticPr fontId="1" type="noConversion"/>
  </si>
  <si>
    <t>B1004(C60/ETB40)  3VA009U 29/6</t>
    <phoneticPr fontId="1" type="noConversion"/>
  </si>
  <si>
    <t>B1055(GC70/AF30-AA) VA001UUA 28/6</t>
    <phoneticPr fontId="1" type="noConversion"/>
  </si>
  <si>
    <t>B1004 VA180U 2/8</t>
    <phoneticPr fontId="1" type="noConversion"/>
  </si>
  <si>
    <t>SA200871AU VA055U 3/7</t>
    <phoneticPr fontId="1" type="noConversion"/>
  </si>
  <si>
    <t>SA155794D(ER10-XY-U) 3VA009U 5/7</t>
    <phoneticPr fontId="1" type="noConversion"/>
  </si>
  <si>
    <t>SA155794D(ER10-XY-U)  3VA009U SỢI X 2/7</t>
    <phoneticPr fontId="1" type="noConversion"/>
  </si>
  <si>
    <t>B1034 3VA021UUA 4/7</t>
    <phoneticPr fontId="1" type="noConversion"/>
  </si>
  <si>
    <t>B04B VA083 27/7</t>
    <phoneticPr fontId="1" type="noConversion"/>
  </si>
  <si>
    <t>SG249007AU 3VA0001UUA 5/7</t>
    <phoneticPr fontId="1" type="noConversion"/>
  </si>
  <si>
    <t>B1062 VA020U  5/7</t>
    <phoneticPr fontId="1" type="noConversion"/>
  </si>
  <si>
    <t>BM1020 JVA005U 5/7</t>
    <phoneticPr fontId="1" type="noConversion"/>
  </si>
  <si>
    <t>B1034(GC70/AF30-AA) VA001U 3/7</t>
    <phoneticPr fontId="1" type="noConversion"/>
  </si>
  <si>
    <t>BCVC04B  VA065U 3/7</t>
    <phoneticPr fontId="1" type="noConversion"/>
  </si>
  <si>
    <t>BCVC0475 3VA003U 2/7</t>
    <phoneticPr fontId="1" type="noConversion"/>
  </si>
  <si>
    <t>SA200871ACVC-U 3VA034U 2/7</t>
    <phoneticPr fontId="1" type="noConversion"/>
  </si>
  <si>
    <t>BUM047AER30-AA-U TJVA001U 29/7</t>
    <phoneticPr fontId="1" type="noConversion"/>
  </si>
  <si>
    <t>BN091AC54/ERN20/ERT20/OC6-U TVA009U 10/8</t>
    <phoneticPr fontId="1" type="noConversion"/>
  </si>
  <si>
    <t>BN091AC54/ERN20/ERT20/OC6-U TVA008 4/7</t>
    <phoneticPr fontId="1" type="noConversion"/>
  </si>
  <si>
    <t>BN091AC54/ERN20/ERT20/OC6-U TVA008 5/7</t>
    <phoneticPr fontId="1" type="noConversion"/>
  </si>
  <si>
    <t>SA192462AAA-U  JVA001U 5/7</t>
    <phoneticPr fontId="1" type="noConversion"/>
  </si>
  <si>
    <t>B14B(OCR) 3VA006UUA 4/7</t>
    <phoneticPr fontId="1" type="noConversion"/>
  </si>
  <si>
    <t>B6CXA(BOC0-U)  TJVA003UY 3/7</t>
    <phoneticPr fontId="1" type="noConversion"/>
  </si>
  <si>
    <t>B11B VA080U 6/7</t>
    <phoneticPr fontId="1" type="noConversion"/>
  </si>
  <si>
    <t>BM(100)04(AA)  JVA002U 11/7 ngưng</t>
    <phoneticPr fontId="1" type="noConversion"/>
  </si>
  <si>
    <t>B1068 JVA115U 6/7</t>
    <phoneticPr fontId="1" type="noConversion"/>
  </si>
  <si>
    <t>B1125 VA001U 8/7</t>
    <phoneticPr fontId="1" type="noConversion"/>
  </si>
  <si>
    <t>SO41269A(BPM20-U) TJVA016U  3/7</t>
    <phoneticPr fontId="1" type="noConversion"/>
  </si>
  <si>
    <t>SO41269A(U) 3JVA028U  4/7</t>
    <phoneticPr fontId="1" type="noConversion"/>
  </si>
  <si>
    <t>B1019 JVA11U 4/7</t>
    <phoneticPr fontId="1" type="noConversion"/>
  </si>
  <si>
    <t>BOC1019 3VA007U 2/7</t>
    <phoneticPr fontId="1" type="noConversion"/>
  </si>
  <si>
    <t>BCVC1062 VA004U 7/7</t>
    <phoneticPr fontId="1" type="noConversion"/>
  </si>
  <si>
    <t>BAB037 3VA023U SỢI A 9/7</t>
    <phoneticPr fontId="1" type="noConversion"/>
  </si>
  <si>
    <t>B1068 VA116UUA 6/7</t>
    <phoneticPr fontId="1" type="noConversion"/>
  </si>
  <si>
    <t>B1069 VA161U 5/7</t>
    <phoneticPr fontId="1" type="noConversion"/>
  </si>
  <si>
    <t>BAB037 3VA023U SỢI B 8/7</t>
    <phoneticPr fontId="1" type="noConversion"/>
  </si>
  <si>
    <t>B0284O(CN) VA011U 10/7</t>
    <phoneticPr fontId="1" type="noConversion"/>
  </si>
  <si>
    <t>BA37L(C60/ERT40-AA-U) TJVA001U 6/7</t>
    <phoneticPr fontId="1" type="noConversion"/>
  </si>
  <si>
    <t>BM1034 VA001 7/7</t>
    <phoneticPr fontId="1" type="noConversion"/>
  </si>
  <si>
    <t>BCVC1029 VA004U 8/7</t>
    <phoneticPr fontId="1" type="noConversion"/>
  </si>
  <si>
    <t>B1126 VA001U 9/7</t>
    <phoneticPr fontId="1" type="noConversion"/>
  </si>
  <si>
    <t>BM0284 VA014U 8/7</t>
    <phoneticPr fontId="1" type="noConversion"/>
  </si>
  <si>
    <t>BVA004A  3VA008U 13/7</t>
    <phoneticPr fontId="1" type="noConversion"/>
  </si>
  <si>
    <t>B1069 TVA162UUS 12/7</t>
    <phoneticPr fontId="1" type="noConversion"/>
  </si>
  <si>
    <t>B1068 3JVA117U 12/7</t>
    <phoneticPr fontId="1" type="noConversion"/>
  </si>
  <si>
    <t>B1069(OCN) 3JVA034U 13/7</t>
    <phoneticPr fontId="1" type="noConversion"/>
  </si>
  <si>
    <t>BM(100M)1019 JVA006U 20/8 DỜI QUA 5# (10/7)</t>
    <phoneticPr fontId="1" type="noConversion"/>
  </si>
  <si>
    <t>BVA004P VA001U 11/7</t>
    <phoneticPr fontId="1" type="noConversion"/>
  </si>
  <si>
    <t>B04B(AA) TJVA015U 11/7</t>
    <phoneticPr fontId="1" type="noConversion"/>
  </si>
  <si>
    <t>BCVC11B VA120U 11/7</t>
    <phoneticPr fontId="1" type="noConversion"/>
  </si>
  <si>
    <t>B1067 VA105U 20/7</t>
    <phoneticPr fontId="1" type="noConversion"/>
  </si>
  <si>
    <t>B06A(FH18)(BOC10) TJVA085UY 11/7</t>
    <phoneticPr fontId="1" type="noConversion"/>
  </si>
  <si>
    <t>BCVC(40ETB)104 VA039U 14/7</t>
    <phoneticPr fontId="1" type="noConversion"/>
  </si>
  <si>
    <t>BM1020 JVA006U 15/7</t>
    <phoneticPr fontId="1" type="noConversion"/>
  </si>
  <si>
    <t>B1019 VA112U 23/7</t>
    <phoneticPr fontId="1" type="noConversion"/>
  </si>
  <si>
    <t>B14B 3VA069UUA 13/7</t>
    <phoneticPr fontId="1" type="noConversion"/>
  </si>
  <si>
    <t>B06A(FH18)(BOC20-AA) TJVA015UY 1/8</t>
    <phoneticPr fontId="1" type="noConversion"/>
  </si>
  <si>
    <t>BUM043AERC30-AA-U  TJVA001U 21/7</t>
    <phoneticPr fontId="1" type="noConversion"/>
  </si>
  <si>
    <t>B1019(C50/ERT50) 3VA001U 16/7</t>
    <phoneticPr fontId="1" type="noConversion"/>
  </si>
  <si>
    <t>SA200871AU 3VA056U 18/7</t>
    <phoneticPr fontId="1" type="noConversion"/>
  </si>
  <si>
    <t>BCVC109 VA005U 16/7</t>
    <phoneticPr fontId="1" type="noConversion"/>
  </si>
  <si>
    <t>BCVC1067 VA020U 14/7</t>
    <phoneticPr fontId="1" type="noConversion"/>
  </si>
  <si>
    <t>BCVC07B 3JVA075U 18/7</t>
    <phoneticPr fontId="1" type="noConversion"/>
  </si>
  <si>
    <t>B1005 JVA027U 19/7</t>
    <phoneticPr fontId="1" type="noConversion"/>
  </si>
  <si>
    <t>BPM20(007B VA001U 19/7</t>
    <phoneticPr fontId="1" type="noConversion"/>
  </si>
  <si>
    <t>SO41269A(U) 3VA029U 17/7</t>
    <phoneticPr fontId="1" type="noConversion"/>
  </si>
  <si>
    <t>B1019(AA)  JVA014U 15/7</t>
    <phoneticPr fontId="1" type="noConversion"/>
  </si>
  <si>
    <t>B12B VA133U 14/7</t>
    <phoneticPr fontId="1" type="noConversion"/>
  </si>
  <si>
    <t>B1030 VA018U 13/7</t>
    <phoneticPr fontId="1" type="noConversion"/>
  </si>
  <si>
    <t>B14B(OCR) JVA007U 13/7</t>
    <phoneticPr fontId="1" type="noConversion"/>
  </si>
  <si>
    <t>B1069OC(N) JVA032U 13/7</t>
    <phoneticPr fontId="1" type="noConversion"/>
  </si>
  <si>
    <t>BOC(90)1005 TJVA001UY 13/7</t>
    <phoneticPr fontId="1" type="noConversion"/>
  </si>
  <si>
    <t>SGR82938A(BOC10-U) VA004U 13/7</t>
    <phoneticPr fontId="1" type="noConversion"/>
  </si>
  <si>
    <t>B0423 VA032U 15/7</t>
    <phoneticPr fontId="1" type="noConversion"/>
  </si>
  <si>
    <t>B1058 VA009U 16/7</t>
    <phoneticPr fontId="1" type="noConversion"/>
  </si>
  <si>
    <t>B1029 VA025 17/7</t>
    <phoneticPr fontId="1" type="noConversion"/>
  </si>
  <si>
    <t>BVA004I VA002UM1  18/7</t>
    <phoneticPr fontId="1" type="noConversion"/>
  </si>
  <si>
    <t>BVA004V VA001UM1 18/7</t>
    <phoneticPr fontId="1" type="noConversion"/>
  </si>
  <si>
    <t>BVA004T VA001UM1  19/7</t>
    <phoneticPr fontId="1" type="noConversion"/>
  </si>
  <si>
    <t>BUM009AERC30-AA TJVA001U 18/7</t>
    <phoneticPr fontId="1" type="noConversion"/>
  </si>
  <si>
    <t>BPM07B  VA002U 16/7</t>
    <phoneticPr fontId="1" type="noConversion"/>
  </si>
  <si>
    <t>BM(100)04(AA)  JVA002U chạy tiếp lại 16/7</t>
    <phoneticPr fontId="1" type="noConversion"/>
  </si>
  <si>
    <t>B02B VA116U 17/7</t>
    <phoneticPr fontId="1" type="noConversion"/>
  </si>
  <si>
    <t>SGR41668A(CVC5-U) 3VA030U 18/7</t>
    <phoneticPr fontId="1" type="noConversion"/>
  </si>
  <si>
    <t>B1069(AA) 3JVA017U 21/7</t>
    <phoneticPr fontId="1" type="noConversion"/>
  </si>
  <si>
    <t>B1069(OCN) 3JVA033U 24/7</t>
    <phoneticPr fontId="1" type="noConversion"/>
  </si>
  <si>
    <t>BM12B VA045U 256/7</t>
    <phoneticPr fontId="1" type="noConversion"/>
  </si>
  <si>
    <t>B1069 VA163UUA 18/7</t>
    <phoneticPr fontId="1" type="noConversion"/>
  </si>
  <si>
    <t>B2652 TJVA037U 21/7</t>
    <phoneticPr fontId="1" type="noConversion"/>
  </si>
  <si>
    <t>B1068 VA118U 17/7</t>
    <phoneticPr fontId="1" type="noConversion"/>
  </si>
  <si>
    <t>B1069 VA164U 18/7</t>
    <phoneticPr fontId="1" type="noConversion"/>
  </si>
  <si>
    <t>B09B 3VA083UUA 19/7</t>
    <phoneticPr fontId="1" type="noConversion"/>
  </si>
  <si>
    <t>B1067O(OCN) 3VA008U 21/7</t>
    <phoneticPr fontId="1" type="noConversion"/>
  </si>
  <si>
    <t>B1069(OCN60/ETB40-AA) JVA013U 20/7</t>
    <phoneticPr fontId="1" type="noConversion"/>
  </si>
  <si>
    <t>B06A(FH18)(M50/C45/OC5-AA) JVA002UY 21/7</t>
    <phoneticPr fontId="1" type="noConversion"/>
  </si>
  <si>
    <t>BPM1069 JVA083U 25/7</t>
    <phoneticPr fontId="1" type="noConversion"/>
  </si>
  <si>
    <t>BCVC1052 VA001 22/7</t>
    <phoneticPr fontId="1" type="noConversion"/>
  </si>
  <si>
    <t>B1004(C60/ETB40) 3VA010U 21/7</t>
    <phoneticPr fontId="1" type="noConversion"/>
  </si>
  <si>
    <t>BPL(20)06B  JVA001U 22/7</t>
    <phoneticPr fontId="1" type="noConversion"/>
  </si>
  <si>
    <t>BAB037 VA024U S-A-B  23/7</t>
    <phoneticPr fontId="1" type="noConversion"/>
  </si>
  <si>
    <t>B1062 VA021U 23/7</t>
    <phoneticPr fontId="1" type="noConversion"/>
  </si>
  <si>
    <t>BCVC104  VA045U 23/7</t>
    <phoneticPr fontId="1" type="noConversion"/>
  </si>
  <si>
    <t>B1019(C60/ERT40) VA002U 27/7</t>
    <phoneticPr fontId="1" type="noConversion"/>
  </si>
  <si>
    <t>B06G(FH18)(BOC20-AA) VB008 30/7</t>
    <phoneticPr fontId="1" type="noConversion"/>
  </si>
  <si>
    <t>B2214 VB088 22/7</t>
    <phoneticPr fontId="1" type="noConversion"/>
  </si>
  <si>
    <t>B2214 VB088 20/7</t>
    <phoneticPr fontId="1" type="noConversion"/>
  </si>
  <si>
    <t xml:space="preserve">B0208 VB050 </t>
    <phoneticPr fontId="1" type="noConversion"/>
  </si>
  <si>
    <t>BPM(50)1019 JVA002U 24/7</t>
    <phoneticPr fontId="1" type="noConversion"/>
  </si>
  <si>
    <t>BCVC0460 VA001 22/7</t>
    <phoneticPr fontId="1" type="noConversion"/>
  </si>
  <si>
    <t>BPM0281 VB005 20/7</t>
    <phoneticPr fontId="1" type="noConversion"/>
  </si>
  <si>
    <t>B2900 VB001 1CA 18/7</t>
    <phoneticPr fontId="1" type="noConversion"/>
  </si>
  <si>
    <t>B2902 VB001 1CA 18/7</t>
    <phoneticPr fontId="1" type="noConversion"/>
  </si>
  <si>
    <t>B2282 VB026 1CA 19/7</t>
    <phoneticPr fontId="1" type="noConversion"/>
  </si>
  <si>
    <t>B2653(OCR) VB001 2CA 21/7</t>
    <phoneticPr fontId="1" type="noConversion"/>
  </si>
  <si>
    <t>B2347(OCN) VB003 2CA 22/7</t>
    <phoneticPr fontId="1" type="noConversion"/>
  </si>
  <si>
    <t>B0208(C60/ETB40) VB013 23/7</t>
    <phoneticPr fontId="1" type="noConversion"/>
  </si>
  <si>
    <t>BTC0285 VB017 2CA 25/7</t>
    <phoneticPr fontId="1" type="noConversion"/>
  </si>
  <si>
    <t>SO30723C(XY) VB009 XY 25/7</t>
    <phoneticPr fontId="1" type="noConversion"/>
  </si>
  <si>
    <t>SO30723C(XY) VB009 SỢI X -XY 25/7</t>
    <phoneticPr fontId="1" type="noConversion"/>
  </si>
  <si>
    <t>B1NP012 VB012 1CA 27/7</t>
    <phoneticPr fontId="1" type="noConversion"/>
  </si>
  <si>
    <t>SO05106I(CVC-AA) VB013 21/7</t>
    <phoneticPr fontId="1" type="noConversion"/>
  </si>
  <si>
    <t>BM0208 VB021 21/7</t>
    <phoneticPr fontId="1" type="noConversion"/>
  </si>
  <si>
    <t>B2367(OCR) VB004 21/7</t>
    <phoneticPr fontId="1" type="noConversion"/>
  </si>
  <si>
    <t>SA155426G(XY) VB024 XY 22/7</t>
    <phoneticPr fontId="1" type="noConversion"/>
  </si>
  <si>
    <t>B0280 VB032 1T 25/7</t>
    <phoneticPr fontId="1" type="noConversion"/>
  </si>
  <si>
    <t>SA155426G(XY) VB026 SỢI X 20/7</t>
    <phoneticPr fontId="1" type="noConversion"/>
  </si>
  <si>
    <t>SGR01899E VB018 1.5T 21/7</t>
    <phoneticPr fontId="1" type="noConversion"/>
  </si>
  <si>
    <t>B2207(OCN) VB003 1CA 22/7</t>
    <phoneticPr fontId="1" type="noConversion"/>
  </si>
  <si>
    <t>B2904 VB001 1CA 23/7</t>
    <phoneticPr fontId="1" type="noConversion"/>
  </si>
  <si>
    <t>BCR(20)25 VB001 18/7</t>
    <phoneticPr fontId="1" type="noConversion"/>
  </si>
  <si>
    <t>BPM0279 VB001 21/7</t>
    <phoneticPr fontId="1" type="noConversion"/>
  </si>
  <si>
    <t>BCVC0293 VB003 2CA 23/7</t>
    <phoneticPr fontId="1" type="noConversion"/>
  </si>
  <si>
    <t>SO231443BBTE50LF VB004 1T 26/7</t>
    <phoneticPr fontId="1" type="noConversion"/>
  </si>
  <si>
    <t>B2214 VB088 19/7</t>
    <phoneticPr fontId="1" type="noConversion"/>
  </si>
  <si>
    <t>SA219061C VB021 2CA 27/7</t>
    <phoneticPr fontId="1" type="noConversion"/>
  </si>
  <si>
    <t>B2366(OCN) VB001 1CA 29/7</t>
    <phoneticPr fontId="1" type="noConversion"/>
  </si>
  <si>
    <t>B09B VA084 1CA 23/7</t>
    <phoneticPr fontId="1" type="noConversion"/>
  </si>
  <si>
    <t>BSO4049CERT50/C25/R25-EY-U TJVA001U  SỢI X-XY 20/7</t>
    <phoneticPr fontId="1" type="noConversion"/>
  </si>
  <si>
    <t>BSB4041AERT50/C25/R25-EY-U VA002U SỢI X-XY 25/7</t>
    <phoneticPr fontId="1" type="noConversion"/>
  </si>
  <si>
    <t>SO41269A(BPM50-U) VA006U 2CA 26/7</t>
    <phoneticPr fontId="1" type="noConversion"/>
  </si>
  <si>
    <t>BCVC04B VA066 2/8</t>
    <phoneticPr fontId="1" type="noConversion"/>
  </si>
  <si>
    <t>B6CXA(BOC-U) JVA004U 26/7</t>
    <phoneticPr fontId="1" type="noConversion"/>
  </si>
  <si>
    <t>SO15163A VB017 1CA 20/7</t>
    <phoneticPr fontId="1" type="noConversion"/>
  </si>
  <si>
    <t>B2367(OCN) VB009 1CA 21/7</t>
    <phoneticPr fontId="1" type="noConversion"/>
  </si>
  <si>
    <t>B2299  VB038 1CA 21/7</t>
    <phoneticPr fontId="1" type="noConversion"/>
  </si>
  <si>
    <t>B0212 VB043 1CA 21/7</t>
    <phoneticPr fontId="1" type="noConversion"/>
  </si>
  <si>
    <t>BPM0210 VB025 23/7</t>
    <phoneticPr fontId="1" type="noConversion"/>
  </si>
  <si>
    <t>SO229159ABM VB014 1T 28/7</t>
    <phoneticPr fontId="1" type="noConversion"/>
  </si>
  <si>
    <t>B0210V(EA30) VB001 1T 21/7</t>
    <phoneticPr fontId="1" type="noConversion"/>
  </si>
  <si>
    <t>B0281(OCN) VB005 BÙ</t>
    <phoneticPr fontId="1" type="noConversion"/>
  </si>
  <si>
    <t>SGR01899E VB018 3T 23/7</t>
    <phoneticPr fontId="1" type="noConversion"/>
  </si>
  <si>
    <t>SGR92083B(RE50/ERT50-AA) VB001 21/7</t>
    <phoneticPr fontId="1" type="noConversion"/>
  </si>
  <si>
    <t>SY229305C VB006 2CA 26/7</t>
    <phoneticPr fontId="1" type="noConversion"/>
  </si>
  <si>
    <t>SO17056F VB009 1CA 24/7</t>
    <phoneticPr fontId="1" type="noConversion"/>
  </si>
  <si>
    <t>BC03(C60/ETB40) VB012 19/7</t>
    <phoneticPr fontId="1" type="noConversion"/>
  </si>
  <si>
    <t>SGR92083BBPM20 VB015 2CA 25/7</t>
    <phoneticPr fontId="1" type="noConversion"/>
  </si>
  <si>
    <t>SGR92083B(CVC-AA)  VB036</t>
    <phoneticPr fontId="1" type="noConversion"/>
  </si>
  <si>
    <t>MÁY THÔ MỞ</t>
    <phoneticPr fontId="1" type="noConversion"/>
  </si>
  <si>
    <t>CÔNG NGHỆ OK</t>
    <phoneticPr fontId="1" type="noConversion"/>
  </si>
  <si>
    <t>SO15163A  VB017</t>
    <phoneticPr fontId="1" type="noConversion"/>
  </si>
  <si>
    <t xml:space="preserve">BPM0210 VB025 </t>
    <phoneticPr fontId="1" type="noConversion"/>
  </si>
  <si>
    <t>SA155427K VB005</t>
    <phoneticPr fontId="1" type="noConversion"/>
  </si>
  <si>
    <t>B06G(FH18)(BOC20-AA) VB008</t>
    <phoneticPr fontId="1" type="noConversion"/>
  </si>
  <si>
    <t>SO15163A  VB018</t>
    <phoneticPr fontId="1" type="noConversion"/>
  </si>
  <si>
    <t>SGR92083B  VB098</t>
    <phoneticPr fontId="1" type="noConversion"/>
  </si>
  <si>
    <t>B0210(ETB65/OCN35) VB003</t>
    <phoneticPr fontId="1" type="noConversion"/>
  </si>
  <si>
    <t>BOC(80)C02(AA) VB012</t>
    <phoneticPr fontId="1" type="noConversion"/>
  </si>
  <si>
    <t>B0208 VB051</t>
    <phoneticPr fontId="1" type="noConversion"/>
  </si>
  <si>
    <t>SO17056F  VB009</t>
    <phoneticPr fontId="1" type="noConversion"/>
  </si>
  <si>
    <t>B05 VB062</t>
    <phoneticPr fontId="1" type="noConversion"/>
  </si>
  <si>
    <t>BNC01(CVC) VB017</t>
    <phoneticPr fontId="1" type="noConversion"/>
  </si>
  <si>
    <t>SGR41667A(CVC20-XY) VB037</t>
    <phoneticPr fontId="1" type="noConversion"/>
  </si>
  <si>
    <t>TOÀN PHẦN</t>
    <phoneticPr fontId="1" type="noConversion"/>
  </si>
  <si>
    <t>BNC04C VB036</t>
    <phoneticPr fontId="1" type="noConversion"/>
  </si>
  <si>
    <t>B0208 VB050</t>
    <phoneticPr fontId="1" type="noConversion"/>
  </si>
  <si>
    <t>B0280 VB032</t>
    <phoneticPr fontId="1" type="noConversion"/>
  </si>
  <si>
    <t>SA239190A VB003</t>
    <phoneticPr fontId="1" type="noConversion"/>
  </si>
  <si>
    <t>SO231443BBTE50LF VB004</t>
    <phoneticPr fontId="1" type="noConversion"/>
  </si>
  <si>
    <t>B0210(OCN-S)  VB019</t>
    <phoneticPr fontId="1" type="noConversion"/>
  </si>
  <si>
    <r>
      <t>3</t>
    </r>
    <r>
      <rPr>
        <sz val="13"/>
        <color theme="1"/>
        <rFont val="宋体"/>
        <family val="2"/>
        <charset val="134"/>
      </rPr>
      <t>根色精梳条</t>
    </r>
    <r>
      <rPr>
        <sz val="13"/>
        <color theme="1"/>
        <rFont val="Times New Roman"/>
        <family val="1"/>
      </rPr>
      <t>(21G)-JC +3</t>
    </r>
    <r>
      <rPr>
        <sz val="13"/>
        <color theme="1"/>
        <rFont val="宋体"/>
        <family val="2"/>
        <charset val="134"/>
      </rPr>
      <t>根白棉精梳条</t>
    </r>
    <r>
      <rPr>
        <sz val="13"/>
        <color theme="1"/>
        <rFont val="Times New Roman"/>
        <family val="1"/>
      </rPr>
      <t>VB044AMY(21G)+2</t>
    </r>
    <r>
      <rPr>
        <sz val="13"/>
        <color theme="1"/>
        <rFont val="宋体"/>
        <family val="2"/>
        <charset val="134"/>
      </rPr>
      <t>根白棉预并条</t>
    </r>
    <r>
      <rPr>
        <sz val="13"/>
        <color theme="1"/>
        <rFont val="Times New Roman"/>
        <family val="1"/>
      </rPr>
      <t>VB044AMY(21G)</t>
    </r>
  </si>
  <si>
    <t>sản phẩn LỚN  đang chạy xưởng AB</t>
    <phoneticPr fontId="1" type="noConversion"/>
  </si>
  <si>
    <r>
      <t>2</t>
    </r>
    <r>
      <rPr>
        <sz val="13"/>
        <color theme="1"/>
        <rFont val="宋体"/>
        <family val="2"/>
        <charset val="134"/>
      </rPr>
      <t>根色混预</t>
    </r>
    <r>
      <rPr>
        <sz val="13"/>
        <color theme="1"/>
        <rFont val="Times New Roman"/>
        <family val="1"/>
      </rPr>
      <t>(20g)+3</t>
    </r>
    <r>
      <rPr>
        <sz val="13"/>
        <color theme="1"/>
        <rFont val="宋体"/>
        <family val="2"/>
        <charset val="134"/>
      </rPr>
      <t>根白棉预并条</t>
    </r>
    <r>
      <rPr>
        <sz val="13"/>
        <color theme="1"/>
        <rFont val="Times New Roman"/>
        <family val="1"/>
      </rPr>
      <t>VB044AMY</t>
    </r>
    <r>
      <rPr>
        <sz val="13"/>
        <color theme="1"/>
        <rFont val="宋体"/>
        <family val="2"/>
        <charset val="134"/>
      </rPr>
      <t>（</t>
    </r>
    <r>
      <rPr>
        <sz val="13"/>
        <color theme="1"/>
        <rFont val="Times New Roman"/>
        <family val="1"/>
      </rPr>
      <t>21g)+3</t>
    </r>
    <r>
      <rPr>
        <sz val="13"/>
        <color theme="1"/>
        <rFont val="宋体"/>
        <family val="2"/>
        <charset val="134"/>
      </rPr>
      <t>根白涤纶预并条</t>
    </r>
    <r>
      <rPr>
        <sz val="13"/>
        <color theme="1"/>
        <rFont val="Times New Roman"/>
        <family val="1"/>
      </rPr>
      <t>TVB001 (POLY TRANG)</t>
    </r>
    <r>
      <rPr>
        <sz val="13"/>
        <color theme="1"/>
        <rFont val="宋体"/>
        <family val="2"/>
        <charset val="134"/>
      </rPr>
      <t>（</t>
    </r>
    <r>
      <rPr>
        <sz val="13"/>
        <color theme="1"/>
        <rFont val="Times New Roman"/>
        <family val="1"/>
      </rPr>
      <t>21g)</t>
    </r>
    <phoneticPr fontId="1" type="noConversion"/>
  </si>
  <si>
    <r>
      <t>4</t>
    </r>
    <r>
      <rPr>
        <sz val="13"/>
        <color theme="1"/>
        <rFont val="宋体"/>
        <family val="2"/>
        <charset val="134"/>
      </rPr>
      <t>根色混预（</t>
    </r>
    <r>
      <rPr>
        <sz val="13"/>
        <color theme="1"/>
        <rFont val="Times New Roman"/>
        <family val="1"/>
      </rPr>
      <t>21G)+4</t>
    </r>
    <r>
      <rPr>
        <sz val="13"/>
        <color theme="1"/>
        <rFont val="宋体"/>
        <family val="2"/>
        <charset val="134"/>
      </rPr>
      <t>根白棉精梳条</t>
    </r>
    <r>
      <rPr>
        <sz val="13"/>
        <color theme="1"/>
        <rFont val="Times New Roman"/>
        <family val="1"/>
      </rPr>
      <t>VB044AMY(21G)</t>
    </r>
    <phoneticPr fontId="1" type="noConversion"/>
  </si>
  <si>
    <r>
      <t>2</t>
    </r>
    <r>
      <rPr>
        <sz val="13"/>
        <color theme="1"/>
        <rFont val="宋体"/>
        <family val="2"/>
        <charset val="134"/>
      </rPr>
      <t>根色混预（</t>
    </r>
    <r>
      <rPr>
        <sz val="13"/>
        <color theme="1"/>
        <rFont val="Times New Roman"/>
        <family val="1"/>
      </rPr>
      <t>21G)+2</t>
    </r>
    <r>
      <rPr>
        <sz val="13"/>
        <color theme="1"/>
        <rFont val="宋体"/>
        <family val="2"/>
        <charset val="134"/>
      </rPr>
      <t>根美棉</t>
    </r>
    <r>
      <rPr>
        <sz val="13"/>
        <color theme="1"/>
        <rFont val="Times New Roman"/>
        <family val="1"/>
      </rPr>
      <t>(PIMA)</t>
    </r>
    <r>
      <rPr>
        <sz val="13"/>
        <color theme="1"/>
        <rFont val="宋体"/>
        <family val="2"/>
        <charset val="134"/>
      </rPr>
      <t>网精梳条</t>
    </r>
    <r>
      <rPr>
        <sz val="13"/>
        <color theme="1"/>
        <rFont val="Times New Roman"/>
        <family val="1"/>
      </rPr>
      <t>PME-20310-2(21G)+4</t>
    </r>
    <r>
      <rPr>
        <sz val="13"/>
        <color theme="1"/>
        <rFont val="宋体"/>
        <family val="2"/>
        <charset val="134"/>
      </rPr>
      <t>根本白精梳条</t>
    </r>
    <r>
      <rPr>
        <sz val="13"/>
        <color theme="1"/>
        <rFont val="Times New Roman"/>
        <family val="1"/>
      </rPr>
      <t>ULV-9287M(21G)</t>
    </r>
    <phoneticPr fontId="1" type="noConversion"/>
  </si>
  <si>
    <r>
      <t>2</t>
    </r>
    <r>
      <rPr>
        <sz val="13"/>
        <color theme="1"/>
        <rFont val="宋体"/>
        <family val="2"/>
        <charset val="134"/>
      </rPr>
      <t>根色混预（</t>
    </r>
    <r>
      <rPr>
        <sz val="13"/>
        <color theme="1"/>
        <rFont val="Times New Roman"/>
        <family val="1"/>
      </rPr>
      <t>22G)+3</t>
    </r>
    <r>
      <rPr>
        <sz val="13"/>
        <color theme="1"/>
        <rFont val="宋体"/>
        <family val="2"/>
        <charset val="134"/>
      </rPr>
      <t>根本白精梳条</t>
    </r>
    <r>
      <rPr>
        <sz val="13"/>
        <color theme="1"/>
        <rFont val="Times New Roman"/>
        <family val="1"/>
      </rPr>
      <t>VB014A(21G)+3</t>
    </r>
    <r>
      <rPr>
        <sz val="13"/>
        <color theme="1"/>
        <rFont val="宋体"/>
        <family val="2"/>
        <charset val="134"/>
      </rPr>
      <t>根白棉预并条</t>
    </r>
    <r>
      <rPr>
        <sz val="13"/>
        <color theme="1"/>
        <rFont val="Times New Roman"/>
        <family val="1"/>
      </rPr>
      <t>VB044AMY(21G)</t>
    </r>
    <phoneticPr fontId="1" type="noConversion"/>
  </si>
  <si>
    <r>
      <t>4</t>
    </r>
    <r>
      <rPr>
        <sz val="13"/>
        <color theme="1"/>
        <rFont val="宋体"/>
        <family val="2"/>
        <charset val="134"/>
      </rPr>
      <t>根色混预（</t>
    </r>
    <r>
      <rPr>
        <sz val="13"/>
        <color theme="1"/>
        <rFont val="Times New Roman"/>
        <family val="1"/>
      </rPr>
      <t>20G)+4</t>
    </r>
    <r>
      <rPr>
        <sz val="13"/>
        <color theme="1"/>
        <rFont val="宋体"/>
        <family val="2"/>
        <charset val="134"/>
      </rPr>
      <t>根白棉精梳条</t>
    </r>
    <r>
      <rPr>
        <sz val="13"/>
        <color theme="1"/>
        <rFont val="Times New Roman"/>
        <family val="1"/>
      </rPr>
      <t>VB044AMY(21G)</t>
    </r>
    <phoneticPr fontId="1" type="noConversion"/>
  </si>
  <si>
    <r>
      <t>2</t>
    </r>
    <r>
      <rPr>
        <sz val="13"/>
        <color theme="1"/>
        <rFont val="宋体"/>
        <family val="2"/>
        <charset val="134"/>
      </rPr>
      <t>根色混预</t>
    </r>
    <r>
      <rPr>
        <sz val="13"/>
        <color theme="1"/>
        <rFont val="Times New Roman"/>
        <family val="1"/>
      </rPr>
      <t>(20G)+3</t>
    </r>
    <r>
      <rPr>
        <sz val="13"/>
        <color theme="1"/>
        <rFont val="宋体"/>
        <family val="2"/>
        <charset val="134"/>
      </rPr>
      <t>根白棉精梳条</t>
    </r>
    <r>
      <rPr>
        <sz val="13"/>
        <color theme="1"/>
        <rFont val="Times New Roman"/>
        <family val="1"/>
      </rPr>
      <t>VB44AMY(21G)+3</t>
    </r>
    <r>
      <rPr>
        <sz val="13"/>
        <color theme="1"/>
        <rFont val="宋体"/>
        <family val="2"/>
        <charset val="134"/>
      </rPr>
      <t>根白棉预并条</t>
    </r>
    <r>
      <rPr>
        <sz val="13"/>
        <color theme="1"/>
        <rFont val="Times New Roman"/>
        <family val="1"/>
      </rPr>
      <t>VB044AMY(21G)</t>
    </r>
    <phoneticPr fontId="1" type="noConversion"/>
  </si>
  <si>
    <r>
      <t>3</t>
    </r>
    <r>
      <rPr>
        <sz val="13"/>
        <color theme="1"/>
        <rFont val="宋体"/>
        <family val="2"/>
        <charset val="134"/>
      </rPr>
      <t>根色混预（</t>
    </r>
    <r>
      <rPr>
        <sz val="13"/>
        <color theme="1"/>
        <rFont val="Times New Roman"/>
        <family val="1"/>
      </rPr>
      <t>21G)+5</t>
    </r>
    <r>
      <rPr>
        <sz val="13"/>
        <color theme="1"/>
        <rFont val="宋体"/>
        <family val="2"/>
        <charset val="134"/>
      </rPr>
      <t>根再生白涤纶预并条</t>
    </r>
    <r>
      <rPr>
        <sz val="13"/>
        <color theme="1"/>
        <rFont val="Times New Roman"/>
        <family val="1"/>
      </rPr>
      <t>BROSRPET-24010107(21G)</t>
    </r>
    <phoneticPr fontId="1" type="noConversion"/>
  </si>
  <si>
    <r>
      <t>2</t>
    </r>
    <r>
      <rPr>
        <sz val="13"/>
        <color theme="1"/>
        <rFont val="宋体"/>
        <family val="2"/>
        <charset val="134"/>
      </rPr>
      <t>根色混预（</t>
    </r>
    <r>
      <rPr>
        <sz val="13"/>
        <color theme="1"/>
        <rFont val="Times New Roman"/>
        <family val="1"/>
      </rPr>
      <t>21g)+6</t>
    </r>
    <r>
      <rPr>
        <sz val="13"/>
        <color theme="1"/>
        <rFont val="宋体"/>
        <family val="2"/>
        <charset val="134"/>
      </rPr>
      <t>根本白精梳条</t>
    </r>
    <r>
      <rPr>
        <sz val="13"/>
        <color theme="1"/>
        <rFont val="Times New Roman"/>
        <family val="1"/>
      </rPr>
      <t>VB014A</t>
    </r>
    <r>
      <rPr>
        <sz val="13"/>
        <color theme="1"/>
        <rFont val="宋体"/>
        <family val="2"/>
        <charset val="134"/>
      </rPr>
      <t>（</t>
    </r>
    <r>
      <rPr>
        <sz val="13"/>
        <color theme="1"/>
        <rFont val="Times New Roman"/>
        <family val="1"/>
      </rPr>
      <t xml:space="preserve">21g) </t>
    </r>
    <phoneticPr fontId="1" type="noConversion"/>
  </si>
  <si>
    <r>
      <t>2</t>
    </r>
    <r>
      <rPr>
        <sz val="13"/>
        <color theme="1"/>
        <rFont val="宋体"/>
        <family val="2"/>
        <charset val="134"/>
      </rPr>
      <t>根色混预</t>
    </r>
    <r>
      <rPr>
        <sz val="13"/>
        <color theme="1"/>
        <rFont val="Times New Roman"/>
        <family val="1"/>
      </rPr>
      <t>(21G)+4</t>
    </r>
    <r>
      <rPr>
        <sz val="13"/>
        <color theme="1"/>
        <rFont val="宋体"/>
        <family val="2"/>
        <charset val="134"/>
      </rPr>
      <t>根白棉精梳条</t>
    </r>
    <r>
      <rPr>
        <sz val="13"/>
        <color theme="1"/>
        <rFont val="Times New Roman"/>
        <family val="1"/>
      </rPr>
      <t>VB044AMY</t>
    </r>
    <r>
      <rPr>
        <sz val="13"/>
        <color theme="1"/>
        <rFont val="宋体"/>
        <family val="2"/>
        <charset val="134"/>
      </rPr>
      <t>（</t>
    </r>
    <r>
      <rPr>
        <sz val="13"/>
        <color theme="1"/>
        <rFont val="Times New Roman"/>
        <family val="1"/>
      </rPr>
      <t>21G)+2</t>
    </r>
    <r>
      <rPr>
        <sz val="13"/>
        <color theme="1"/>
        <rFont val="宋体"/>
        <family val="2"/>
        <charset val="134"/>
      </rPr>
      <t>根奥棉精梳条</t>
    </r>
    <r>
      <rPr>
        <sz val="13"/>
        <color theme="1"/>
        <rFont val="Times New Roman"/>
        <family val="1"/>
      </rPr>
      <t>BV2306-76-3</t>
    </r>
    <r>
      <rPr>
        <sz val="13"/>
        <color theme="1"/>
        <rFont val="宋体"/>
        <family val="2"/>
        <charset val="134"/>
      </rPr>
      <t>（</t>
    </r>
    <r>
      <rPr>
        <sz val="13"/>
        <color theme="1"/>
        <rFont val="Times New Roman"/>
        <family val="1"/>
      </rPr>
      <t>20G)</t>
    </r>
    <phoneticPr fontId="1" type="noConversion"/>
  </si>
  <si>
    <r>
      <t>2</t>
    </r>
    <r>
      <rPr>
        <sz val="13"/>
        <color theme="1"/>
        <rFont val="宋体"/>
        <family val="2"/>
        <charset val="134"/>
      </rPr>
      <t>根色混预</t>
    </r>
    <r>
      <rPr>
        <sz val="13"/>
        <color theme="1"/>
        <rFont val="Times New Roman"/>
        <family val="1"/>
      </rPr>
      <t>(20G)+3</t>
    </r>
    <r>
      <rPr>
        <sz val="13"/>
        <color theme="1"/>
        <rFont val="宋体"/>
        <family val="2"/>
        <charset val="134"/>
      </rPr>
      <t>根白棉精梳条</t>
    </r>
    <r>
      <rPr>
        <sz val="13"/>
        <color theme="1"/>
        <rFont val="Times New Roman"/>
        <family val="1"/>
      </rPr>
      <t>VB044AMY(21G)+3</t>
    </r>
    <r>
      <rPr>
        <sz val="13"/>
        <color theme="1"/>
        <rFont val="宋体"/>
        <family val="2"/>
        <charset val="134"/>
      </rPr>
      <t>根白棉预并条</t>
    </r>
    <r>
      <rPr>
        <sz val="13"/>
        <color theme="1"/>
        <rFont val="Times New Roman"/>
        <family val="1"/>
      </rPr>
      <t>VB044AMY(21G)</t>
    </r>
    <phoneticPr fontId="1" type="noConversion"/>
  </si>
  <si>
    <r>
      <t>2</t>
    </r>
    <r>
      <rPr>
        <sz val="13"/>
        <color theme="1"/>
        <rFont val="宋体"/>
        <family val="2"/>
        <charset val="134"/>
      </rPr>
      <t>根色混预</t>
    </r>
    <r>
      <rPr>
        <sz val="13"/>
        <color theme="1"/>
        <rFont val="Times New Roman"/>
        <family val="1"/>
      </rPr>
      <t>(21G)+4</t>
    </r>
    <r>
      <rPr>
        <sz val="13"/>
        <color theme="1"/>
        <rFont val="宋体"/>
        <family val="2"/>
        <charset val="134"/>
      </rPr>
      <t>根白棉预并条</t>
    </r>
    <r>
      <rPr>
        <sz val="13"/>
        <color theme="1"/>
        <rFont val="Times New Roman"/>
        <family val="1"/>
      </rPr>
      <t>VB044AMY(21G)+2</t>
    </r>
    <r>
      <rPr>
        <sz val="13"/>
        <color theme="1"/>
        <rFont val="宋体"/>
        <family val="2"/>
        <charset val="134"/>
      </rPr>
      <t>根白棉精梳条</t>
    </r>
    <r>
      <rPr>
        <sz val="13"/>
        <color theme="1"/>
        <rFont val="Times New Roman"/>
        <family val="1"/>
      </rPr>
      <t>VB044AMY(21G)</t>
    </r>
    <phoneticPr fontId="1" type="noConversion"/>
  </si>
  <si>
    <r>
      <t>2</t>
    </r>
    <r>
      <rPr>
        <sz val="13"/>
        <color theme="1"/>
        <rFont val="宋体"/>
        <family val="2"/>
        <charset val="134"/>
      </rPr>
      <t>根色混预</t>
    </r>
    <r>
      <rPr>
        <sz val="13"/>
        <color theme="1"/>
        <rFont val="Times New Roman"/>
        <family val="1"/>
      </rPr>
      <t>(21g)+2</t>
    </r>
    <r>
      <rPr>
        <sz val="13"/>
        <color theme="1"/>
        <rFont val="宋体"/>
        <family val="2"/>
        <charset val="134"/>
      </rPr>
      <t>根本白预并条</t>
    </r>
    <r>
      <rPr>
        <sz val="13"/>
        <color theme="1"/>
        <rFont val="Times New Roman"/>
        <family val="1"/>
      </rPr>
      <t>VB014A(21g)+1</t>
    </r>
    <r>
      <rPr>
        <sz val="13"/>
        <color theme="1"/>
        <rFont val="宋体"/>
        <family val="2"/>
        <charset val="134"/>
      </rPr>
      <t>根白棉预并条</t>
    </r>
    <r>
      <rPr>
        <sz val="13"/>
        <color theme="1"/>
        <rFont val="Times New Roman"/>
        <family val="1"/>
      </rPr>
      <t>VB044AMY(21G)+3</t>
    </r>
    <r>
      <rPr>
        <sz val="13"/>
        <color theme="1"/>
        <rFont val="宋体"/>
        <family val="2"/>
        <charset val="134"/>
      </rPr>
      <t>根白涤纶预并条</t>
    </r>
    <r>
      <rPr>
        <sz val="13"/>
        <color theme="1"/>
        <rFont val="Times New Roman"/>
        <family val="1"/>
      </rPr>
      <t>TVB001(POLY TRANG)</t>
    </r>
    <r>
      <rPr>
        <sz val="13"/>
        <color theme="1"/>
        <rFont val="宋体"/>
        <family val="2"/>
        <charset val="134"/>
      </rPr>
      <t>（</t>
    </r>
    <r>
      <rPr>
        <sz val="13"/>
        <color theme="1"/>
        <rFont val="Times New Roman"/>
        <family val="1"/>
      </rPr>
      <t>21g</t>
    </r>
    <r>
      <rPr>
        <sz val="13"/>
        <color theme="1"/>
        <rFont val="宋体"/>
        <family val="2"/>
        <charset val="134"/>
      </rPr>
      <t>）</t>
    </r>
    <phoneticPr fontId="1" type="noConversion"/>
  </si>
  <si>
    <r>
      <t>2</t>
    </r>
    <r>
      <rPr>
        <sz val="13"/>
        <color theme="1"/>
        <rFont val="宋体"/>
        <family val="2"/>
        <charset val="134"/>
      </rPr>
      <t>根色混预</t>
    </r>
    <r>
      <rPr>
        <sz val="13"/>
        <color theme="1"/>
        <rFont val="Times New Roman"/>
        <family val="1"/>
      </rPr>
      <t>( 22G)+3</t>
    </r>
    <r>
      <rPr>
        <sz val="13"/>
        <color theme="1"/>
        <rFont val="宋体"/>
        <family val="2"/>
        <charset val="134"/>
      </rPr>
      <t>根本白精梳条</t>
    </r>
    <r>
      <rPr>
        <sz val="13"/>
        <color theme="1"/>
        <rFont val="Times New Roman"/>
        <family val="1"/>
      </rPr>
      <t>VB014A</t>
    </r>
    <r>
      <rPr>
        <sz val="13"/>
        <color theme="1"/>
        <rFont val="宋体"/>
        <family val="2"/>
        <charset val="134"/>
      </rPr>
      <t>（</t>
    </r>
    <r>
      <rPr>
        <sz val="13"/>
        <color theme="1"/>
        <rFont val="Times New Roman"/>
        <family val="1"/>
      </rPr>
      <t>21G)+3</t>
    </r>
    <r>
      <rPr>
        <sz val="13"/>
        <color theme="1"/>
        <rFont val="宋体"/>
        <family val="2"/>
        <charset val="134"/>
      </rPr>
      <t>根本白预并条</t>
    </r>
    <r>
      <rPr>
        <sz val="13"/>
        <color theme="1"/>
        <rFont val="Times New Roman"/>
        <family val="1"/>
      </rPr>
      <t>VB014A(21G)</t>
    </r>
    <phoneticPr fontId="1" type="noConversion"/>
  </si>
  <si>
    <r>
      <t xml:space="preserve"> 2</t>
    </r>
    <r>
      <rPr>
        <sz val="13"/>
        <color theme="1"/>
        <rFont val="宋体"/>
        <family val="2"/>
        <charset val="134"/>
      </rPr>
      <t>根色混预</t>
    </r>
    <r>
      <rPr>
        <sz val="13"/>
        <color theme="1"/>
        <rFont val="Times New Roman"/>
        <family val="1"/>
      </rPr>
      <t>(21G)+6</t>
    </r>
    <r>
      <rPr>
        <sz val="13"/>
        <color theme="1"/>
        <rFont val="宋体"/>
        <family val="2"/>
        <charset val="134"/>
      </rPr>
      <t>根白棉精梳条</t>
    </r>
    <r>
      <rPr>
        <sz val="13"/>
        <color theme="1"/>
        <rFont val="Times New Roman"/>
        <family val="1"/>
      </rPr>
      <t>VB044AMY</t>
    </r>
    <r>
      <rPr>
        <sz val="13"/>
        <color theme="1"/>
        <rFont val="宋体"/>
        <family val="2"/>
        <charset val="134"/>
      </rPr>
      <t>（</t>
    </r>
    <r>
      <rPr>
        <sz val="13"/>
        <color theme="1"/>
        <rFont val="Times New Roman"/>
        <family val="1"/>
      </rPr>
      <t>21G)</t>
    </r>
    <phoneticPr fontId="1" type="noConversion"/>
  </si>
  <si>
    <r>
      <t>2</t>
    </r>
    <r>
      <rPr>
        <sz val="13"/>
        <color theme="1"/>
        <rFont val="宋体"/>
        <family val="2"/>
        <charset val="134"/>
      </rPr>
      <t>根色混预（</t>
    </r>
    <r>
      <rPr>
        <sz val="13"/>
        <color theme="1"/>
        <rFont val="Times New Roman"/>
        <family val="1"/>
      </rPr>
      <t>20G)+3</t>
    </r>
    <r>
      <rPr>
        <sz val="13"/>
        <color theme="1"/>
        <rFont val="宋体"/>
        <family val="2"/>
        <charset val="134"/>
      </rPr>
      <t>根白棉预并条</t>
    </r>
    <r>
      <rPr>
        <sz val="13"/>
        <color theme="1"/>
        <rFont val="Times New Roman"/>
        <family val="1"/>
      </rPr>
      <t>VB044AMY(21G)+3</t>
    </r>
    <r>
      <rPr>
        <sz val="13"/>
        <color theme="1"/>
        <rFont val="宋体"/>
        <family val="2"/>
        <charset val="134"/>
      </rPr>
      <t>根白棉精梳条</t>
    </r>
    <r>
      <rPr>
        <sz val="13"/>
        <color theme="1"/>
        <rFont val="Times New Roman"/>
        <family val="1"/>
      </rPr>
      <t>VB044AMY</t>
    </r>
    <r>
      <rPr>
        <sz val="13"/>
        <color theme="1"/>
        <rFont val="宋体"/>
        <family val="2"/>
        <charset val="134"/>
      </rPr>
      <t>（</t>
    </r>
    <r>
      <rPr>
        <sz val="13"/>
        <color theme="1"/>
        <rFont val="Times New Roman"/>
        <family val="1"/>
      </rPr>
      <t>21G)</t>
    </r>
    <phoneticPr fontId="1" type="noConversion"/>
  </si>
  <si>
    <r>
      <t>2</t>
    </r>
    <r>
      <rPr>
        <sz val="13"/>
        <color theme="1"/>
        <rFont val="宋体"/>
        <family val="2"/>
        <charset val="134"/>
      </rPr>
      <t>根色混预（</t>
    </r>
    <r>
      <rPr>
        <sz val="13"/>
        <color theme="1"/>
        <rFont val="Times New Roman"/>
        <family val="1"/>
      </rPr>
      <t>21G)+4</t>
    </r>
    <r>
      <rPr>
        <sz val="13"/>
        <color theme="1"/>
        <rFont val="宋体"/>
        <family val="2"/>
        <charset val="134"/>
      </rPr>
      <t>根白棉精梳条</t>
    </r>
    <r>
      <rPr>
        <sz val="13"/>
        <color theme="1"/>
        <rFont val="Times New Roman"/>
        <family val="1"/>
      </rPr>
      <t>VB044AMY(21G)+1</t>
    </r>
    <r>
      <rPr>
        <sz val="13"/>
        <color theme="1"/>
        <rFont val="宋体"/>
        <family val="2"/>
        <charset val="134"/>
      </rPr>
      <t>根白棉预并条</t>
    </r>
    <r>
      <rPr>
        <sz val="13"/>
        <color theme="1"/>
        <rFont val="Times New Roman"/>
        <family val="1"/>
      </rPr>
      <t>VB044AMY(21G)+1</t>
    </r>
    <r>
      <rPr>
        <sz val="13"/>
        <color theme="1"/>
        <rFont val="宋体"/>
        <family val="2"/>
        <charset val="134"/>
      </rPr>
      <t>根本白预并条</t>
    </r>
    <r>
      <rPr>
        <sz val="13"/>
        <color theme="1"/>
        <rFont val="Times New Roman"/>
        <family val="1"/>
      </rPr>
      <t>VB014A(21G)</t>
    </r>
    <phoneticPr fontId="1" type="noConversion"/>
  </si>
  <si>
    <r>
      <t>2</t>
    </r>
    <r>
      <rPr>
        <sz val="13"/>
        <color theme="1"/>
        <rFont val="宋体"/>
        <family val="2"/>
        <charset val="134"/>
      </rPr>
      <t>根色混预（</t>
    </r>
    <r>
      <rPr>
        <sz val="13"/>
        <color theme="1"/>
        <rFont val="Times New Roman"/>
        <family val="1"/>
      </rPr>
      <t>21G)+4</t>
    </r>
    <r>
      <rPr>
        <sz val="13"/>
        <color theme="1"/>
        <rFont val="宋体"/>
        <family val="2"/>
        <charset val="134"/>
      </rPr>
      <t>根白天丝预并条</t>
    </r>
    <r>
      <rPr>
        <sz val="13"/>
        <color theme="1"/>
        <rFont val="Times New Roman"/>
        <family val="1"/>
      </rPr>
      <t>268(21G)+2</t>
    </r>
    <r>
      <rPr>
        <sz val="13"/>
        <color theme="1"/>
        <rFont val="宋体"/>
        <family val="2"/>
        <charset val="134"/>
      </rPr>
      <t>根白棉精梳条</t>
    </r>
    <r>
      <rPr>
        <sz val="13"/>
        <color theme="1"/>
        <rFont val="Times New Roman"/>
        <family val="1"/>
      </rPr>
      <t>VB044AMY(21G)</t>
    </r>
    <phoneticPr fontId="1" type="noConversion"/>
  </si>
  <si>
    <r>
      <t>2</t>
    </r>
    <r>
      <rPr>
        <sz val="13"/>
        <color theme="1"/>
        <rFont val="宋体"/>
        <family val="2"/>
        <charset val="134"/>
      </rPr>
      <t>根色混预（</t>
    </r>
    <r>
      <rPr>
        <sz val="13"/>
        <color theme="1"/>
        <rFont val="Times New Roman"/>
        <family val="1"/>
      </rPr>
      <t>20G)+6</t>
    </r>
    <r>
      <rPr>
        <sz val="13"/>
        <color theme="1"/>
        <rFont val="宋体"/>
        <family val="2"/>
        <charset val="134"/>
      </rPr>
      <t>根土耳其有机棉精梳条</t>
    </r>
    <r>
      <rPr>
        <sz val="13"/>
        <color theme="1"/>
        <rFont val="Times New Roman"/>
        <family val="1"/>
      </rPr>
      <t>CA053OCN-5(21G)</t>
    </r>
    <phoneticPr fontId="1" type="noConversion"/>
  </si>
  <si>
    <t>SA215376B VB015 1CA 25/7</t>
    <phoneticPr fontId="1" type="noConversion"/>
  </si>
  <si>
    <t>BC02 VB068UA 1CA 27/7</t>
    <phoneticPr fontId="1" type="noConversion"/>
  </si>
  <si>
    <t>B2212 VB056 1CA 27/7</t>
    <phoneticPr fontId="1" type="noConversion"/>
  </si>
  <si>
    <t>BM0214 VB001 1CA 24/7</t>
    <phoneticPr fontId="1" type="noConversion"/>
  </si>
  <si>
    <t>B2736 VB001 1CA 23/7</t>
    <phoneticPr fontId="1" type="noConversion"/>
  </si>
  <si>
    <t>BCVC0208 VB035 21/7</t>
    <phoneticPr fontId="1" type="noConversion"/>
  </si>
  <si>
    <t>B2367(OCN50/M50)  VA004 1CA 23/7</t>
    <phoneticPr fontId="1" type="noConversion"/>
  </si>
  <si>
    <t>BM2366 VB003 1CA 24/7</t>
    <phoneticPr fontId="1" type="noConversion"/>
  </si>
  <si>
    <t>B1005 VA028 22/7</t>
    <phoneticPr fontId="1" type="noConversion"/>
  </si>
  <si>
    <t>BM(100M)1019 JVA006U 1/8</t>
    <phoneticPr fontId="1" type="noConversion"/>
  </si>
  <si>
    <t>BCVC0284 VS019  22/7</t>
    <phoneticPr fontId="1" type="noConversion"/>
  </si>
  <si>
    <t>BM2659 JVA004 22/7</t>
    <phoneticPr fontId="1" type="noConversion"/>
  </si>
  <si>
    <t>B1NCY10 VB008 SỢI X-XY 28/7</t>
    <phoneticPr fontId="1" type="noConversion"/>
  </si>
  <si>
    <t>SO15163A VB017 tiếp 2016 cọc 27/7 11/16</t>
    <phoneticPr fontId="1" type="noConversion"/>
  </si>
  <si>
    <t>SA155427K VB005 1T 26/7 5/8</t>
    <phoneticPr fontId="1" type="noConversion"/>
  </si>
  <si>
    <t>BCVC0210(OCN) VB001 1CA 24/7</t>
    <phoneticPr fontId="1" type="noConversion"/>
  </si>
  <si>
    <t>BM2452 VB001 1CA 27/7</t>
    <phoneticPr fontId="1" type="noConversion"/>
  </si>
  <si>
    <t>BTC12B 3VA047U 25/7</t>
    <phoneticPr fontId="1" type="noConversion"/>
  </si>
  <si>
    <t>B0213(C60/ETB40) VB003 1CA 28/7</t>
    <phoneticPr fontId="1" type="noConversion"/>
  </si>
  <si>
    <t>BPM0210 VB025 bù 23/7</t>
    <phoneticPr fontId="1" type="noConversion"/>
  </si>
  <si>
    <t>SA239190A VB003 1T 26/7  3/8</t>
    <phoneticPr fontId="1" type="noConversion"/>
  </si>
  <si>
    <t>B0210(ETB65/OCN35) VB003 1T 24/7  4/8</t>
    <phoneticPr fontId="1" type="noConversion"/>
  </si>
  <si>
    <t>B2401 VB018 1CA 25/7</t>
    <phoneticPr fontId="1" type="noConversion"/>
  </si>
  <si>
    <t>BA37M JVB013 2CA 31/7</t>
    <phoneticPr fontId="1" type="noConversion"/>
  </si>
  <si>
    <t>BM1105(AA) TJVA001 23/7</t>
    <phoneticPr fontId="1" type="noConversion"/>
  </si>
  <si>
    <t>SO41269A(BPM20-U) VA17U 5T 28/7</t>
    <phoneticPr fontId="1" type="noConversion"/>
  </si>
  <si>
    <t>SA155794D(ER10-XY-U)  3VA010U SỢI X 1T 23/7</t>
    <phoneticPr fontId="1" type="noConversion"/>
  </si>
  <si>
    <t>B1068 VA119U 24/7</t>
    <phoneticPr fontId="1" type="noConversion"/>
  </si>
  <si>
    <t>B1029 VA024U 23/7</t>
    <phoneticPr fontId="1" type="noConversion"/>
  </si>
  <si>
    <t>BSV4050BERT50/C25/R25-EY-U TJVA001U 23/7</t>
    <phoneticPr fontId="1" type="noConversion"/>
  </si>
  <si>
    <t>BCVC02B VA005 2CA 24/7</t>
    <phoneticPr fontId="1" type="noConversion"/>
  </si>
  <si>
    <t>SGR92083B(BPM50) VA006-A 1CA 24/7</t>
    <phoneticPr fontId="1" type="noConversion"/>
  </si>
  <si>
    <t>B0221 VB015 1CA 27/7</t>
    <phoneticPr fontId="1" type="noConversion"/>
  </si>
  <si>
    <t>SO17056F VB009 2T 24/7  0/16</t>
    <phoneticPr fontId="1" type="noConversion"/>
  </si>
  <si>
    <t>B0604 VB002 1.5T 27/7  14/16</t>
    <phoneticPr fontId="1" type="noConversion"/>
  </si>
  <si>
    <t>B2366 VB051 1.5T 26/7  6/8</t>
    <phoneticPr fontId="1" type="noConversion"/>
  </si>
  <si>
    <t>BNC04 VB036 28/7</t>
    <phoneticPr fontId="1" type="noConversion"/>
  </si>
  <si>
    <t>B11B VA081U 1CA 25/7</t>
    <phoneticPr fontId="1" type="noConversion"/>
  </si>
  <si>
    <t>B1069(OCN) JVA036U 2CA 27/7</t>
    <phoneticPr fontId="1" type="noConversion"/>
  </si>
  <si>
    <t>BCVC07B  VA076 1.5T 1/8</t>
    <phoneticPr fontId="1" type="noConversion"/>
  </si>
  <si>
    <t>B2746 VB028 2T 2*8</t>
    <phoneticPr fontId="1" type="noConversion"/>
  </si>
  <si>
    <t>BM2784 VB002 1CA 29/7 kt 24/7</t>
    <phoneticPr fontId="1" type="noConversion"/>
  </si>
  <si>
    <t>B2367 VB026 1CA 28/7 kt 24/7</t>
    <phoneticPr fontId="1" type="noConversion"/>
  </si>
  <si>
    <t>BCVC11B VA121U 25/7</t>
    <phoneticPr fontId="1" type="noConversion"/>
  </si>
  <si>
    <t>B12B  VA134 4T 28/7</t>
    <phoneticPr fontId="1" type="noConversion"/>
  </si>
  <si>
    <t>SO15163A VB018  28/7</t>
    <phoneticPr fontId="1" type="noConversion"/>
  </si>
  <si>
    <t>B2657 VB015 2CA 30/7</t>
    <phoneticPr fontId="1" type="noConversion"/>
  </si>
  <si>
    <t>SA249208ACVC VB001 1CA 26/7</t>
    <phoneticPr fontId="1" type="noConversion"/>
  </si>
  <si>
    <t>BM(100M)04B(AA)  JVA009U 23/7</t>
    <phoneticPr fontId="1" type="noConversion"/>
  </si>
  <si>
    <t>BOC07B JVA003 1CA 29/7</t>
    <phoneticPr fontId="1" type="noConversion"/>
  </si>
  <si>
    <t>B1069 VA166U  1CA 30/7</t>
    <phoneticPr fontId="1" type="noConversion"/>
  </si>
  <si>
    <t>BVA004PAA JVA001U 1CA 26/7</t>
    <phoneticPr fontId="1" type="noConversion"/>
  </si>
  <si>
    <t>BPM04B VA006U 1CA 27/7</t>
    <phoneticPr fontId="1" type="noConversion"/>
  </si>
  <si>
    <t>BM(100)2452(AA) VB002 10B 2T 28/7  kt 25/7</t>
    <phoneticPr fontId="1" type="noConversion"/>
  </si>
  <si>
    <t>BM(100)2452(AA) VB002 13B 2T 28/7  kt 25/7</t>
    <phoneticPr fontId="1" type="noConversion"/>
  </si>
  <si>
    <t>BA37M-RM VB002 1.5T 31/7 4*8 28/7</t>
    <phoneticPr fontId="1" type="noConversion"/>
  </si>
  <si>
    <t>B2796 VB016 1.5T 29/7   14*16</t>
    <phoneticPr fontId="1" type="noConversion"/>
  </si>
  <si>
    <t>B0216 VB009 1CA 27/7</t>
    <phoneticPr fontId="1" type="noConversion"/>
  </si>
  <si>
    <t>B2879 VB002 1CA 28/7</t>
    <phoneticPr fontId="1" type="noConversion"/>
  </si>
  <si>
    <t>BM(100M)2829(AA) VB009 2CA 28/7</t>
    <phoneticPr fontId="1" type="noConversion"/>
  </si>
  <si>
    <t>BM(100)2781(AA) VB001 1CA 30/7</t>
    <phoneticPr fontId="1" type="noConversion"/>
  </si>
  <si>
    <t>SA239066CTC-SD  VB008 2CA 1/8</t>
    <phoneticPr fontId="1" type="noConversion"/>
  </si>
  <si>
    <t>BAB073 VB028 SỢI A-B 1CA 1/8</t>
    <phoneticPr fontId="1" type="noConversion"/>
  </si>
  <si>
    <t xml:space="preserve">B2899 VB001 1CA </t>
    <phoneticPr fontId="1" type="noConversion"/>
  </si>
  <si>
    <t>B2228 VB002 1CA</t>
    <phoneticPr fontId="1" type="noConversion"/>
  </si>
  <si>
    <t>BSO4055BERT50/C25/R25-EY-U TJVA001U 1T SỢI X-XY 26/7</t>
    <phoneticPr fontId="1" type="noConversion"/>
  </si>
  <si>
    <t>BSB4047BERT50/C25/R25ETERAAU TJVA001U 1.5T28/7</t>
    <phoneticPr fontId="1" type="noConversion"/>
  </si>
  <si>
    <t>BPL(20)1068 VA008U 1T 27/7</t>
    <phoneticPr fontId="1" type="noConversion"/>
  </si>
  <si>
    <t>BPM(20)0475 JVA002U 1CA 28/7</t>
    <phoneticPr fontId="1" type="noConversion"/>
  </si>
  <si>
    <t>B1069 VA165U 1CA 29/7</t>
    <phoneticPr fontId="1" type="noConversion"/>
  </si>
  <si>
    <t>B1052 JVA031U 8T 9/8</t>
    <phoneticPr fontId="1" type="noConversion"/>
  </si>
  <si>
    <t>BOC(80)C02(AA) VB012 13T 2/8</t>
    <phoneticPr fontId="1" type="noConversion"/>
  </si>
  <si>
    <t>BPM(20)2214 VB009 1T 29/7  kt26/7</t>
    <phoneticPr fontId="1" type="noConversion"/>
  </si>
  <si>
    <t>SO06093D  VB014 2T 30/7  8*16</t>
    <phoneticPr fontId="1" type="noConversion"/>
  </si>
  <si>
    <t>SA215376B VB016 1CA 1/8</t>
    <phoneticPr fontId="1" type="noConversion"/>
  </si>
  <si>
    <t>B0281 VB056 2ca  31/7</t>
    <phoneticPr fontId="1" type="noConversion"/>
  </si>
  <si>
    <t>B2818  VB004 1CA 1/8</t>
    <phoneticPr fontId="1" type="noConversion"/>
  </si>
  <si>
    <t>B09B(C60/ETB40) VA012 2CA 29/7</t>
    <phoneticPr fontId="1" type="noConversion"/>
  </si>
  <si>
    <t>BA37L(U)  JVA130U 1CA 30/7</t>
    <phoneticPr fontId="1" type="noConversion"/>
  </si>
  <si>
    <t>BCVC0208 VB036 2CA 30/7</t>
    <phoneticPr fontId="1" type="noConversion"/>
  </si>
  <si>
    <t>B2347(C60/ETB40) VB014 1CA 31/7</t>
    <phoneticPr fontId="1" type="noConversion"/>
  </si>
  <si>
    <t>BPM0216 VB002 1CA 31/7</t>
    <phoneticPr fontId="1" type="noConversion"/>
  </si>
  <si>
    <t xml:space="preserve">B2561 VB017 2CA 30/7  </t>
    <phoneticPr fontId="1" type="noConversion"/>
  </si>
  <si>
    <t>BM(100)2829(AA) VB001 1CA 30/7 1*6</t>
    <phoneticPr fontId="1" type="noConversion"/>
  </si>
  <si>
    <t xml:space="preserve">BM(100M)2781(AA) VB001 2CA 29/7 </t>
    <phoneticPr fontId="1" type="noConversion"/>
  </si>
  <si>
    <t xml:space="preserve">BTCC02 VB033 2.5T 30/7  </t>
    <phoneticPr fontId="1" type="noConversion"/>
  </si>
  <si>
    <t>B2622 JVB008 1T 31/7  2*8</t>
    <phoneticPr fontId="1" type="noConversion"/>
  </si>
  <si>
    <t>B2214 VB090 CHẠY TRC 180LB 1CA 31/8</t>
    <phoneticPr fontId="1" type="noConversion"/>
  </si>
  <si>
    <t xml:space="preserve">B0208 VB051 4T 26/7 </t>
    <phoneticPr fontId="1" type="noConversion"/>
  </si>
  <si>
    <t>BMC03 VB003 1T 29/7  mẫu lớn k dạt</t>
    <phoneticPr fontId="1" type="noConversion"/>
  </si>
  <si>
    <t>B2366(OCN) VB002 1CA 3/8</t>
    <phoneticPr fontId="1" type="noConversion"/>
  </si>
  <si>
    <t>BSA3871ABPM20 VB014U 1CA 29/7 KT29/7</t>
    <phoneticPr fontId="1" type="noConversion"/>
  </si>
  <si>
    <t>B1068 VA120U 1CA 28/7</t>
    <phoneticPr fontId="1" type="noConversion"/>
  </si>
  <si>
    <t>B1067-OE VA106  485  22/8</t>
    <phoneticPr fontId="1" type="noConversion"/>
  </si>
  <si>
    <t>B12B-OE VA135U  2932  27/8</t>
    <phoneticPr fontId="1" type="noConversion"/>
  </si>
  <si>
    <t>SA229142AU-OE  4894 1/9</t>
    <phoneticPr fontId="1" type="noConversion"/>
  </si>
  <si>
    <t>SA200871AC60/ERT40-U-OE VA009U 2204  31/8</t>
    <phoneticPr fontId="1" type="noConversion"/>
  </si>
  <si>
    <t>10/8.</t>
    <phoneticPr fontId="1" type="noConversion"/>
  </si>
  <si>
    <t>13/8-15/8.</t>
    <phoneticPr fontId="1" type="noConversion"/>
  </si>
  <si>
    <t>18/8-20/8.</t>
    <phoneticPr fontId="1" type="noConversion"/>
  </si>
  <si>
    <t>23/8-26/8</t>
    <phoneticPr fontId="1" type="noConversion"/>
  </si>
  <si>
    <r>
      <t xml:space="preserve">NGÀY GIAO
</t>
    </r>
    <r>
      <rPr>
        <b/>
        <sz val="11"/>
        <color theme="1"/>
        <rFont val="宋体"/>
        <family val="3"/>
        <charset val="134"/>
      </rPr>
      <t>复交期</t>
    </r>
    <phoneticPr fontId="1" type="noConversion"/>
  </si>
  <si>
    <t>SGR41667A(CVC20-XY) VA037 SỢI X 16*19+1</t>
    <phoneticPr fontId="1" type="noConversion"/>
  </si>
  <si>
    <t>B05 VB062 20T 1/8</t>
    <phoneticPr fontId="1" type="noConversion"/>
  </si>
  <si>
    <t>B06G(FH18)(BOC20-AA) VB008 15/8</t>
    <phoneticPr fontId="1" type="noConversion"/>
  </si>
  <si>
    <t xml:space="preserve">B06G(FH18)(BOC20-AA) VB009 12T 30/8 </t>
    <phoneticPr fontId="1" type="noConversion"/>
  </si>
  <si>
    <t>SO15163A VB017 hết lượng còn lại 11T 1/8</t>
    <phoneticPr fontId="1" type="noConversion"/>
  </si>
  <si>
    <t>B0279 JVB030 6T 2/8</t>
    <phoneticPr fontId="1" type="noConversion"/>
  </si>
  <si>
    <t>SGR92083B  VB098 15T  1/8</t>
    <phoneticPr fontId="1" type="noConversion"/>
  </si>
  <si>
    <t>BNC01(CVC) VB017  17/8</t>
    <phoneticPr fontId="1" type="noConversion"/>
  </si>
  <si>
    <t>BC02 VB070 23T 15/9</t>
    <phoneticPr fontId="1" type="noConversion"/>
  </si>
  <si>
    <t>B0210(OCN-S) VB019 1.5T 28/7 4*8</t>
    <phoneticPr fontId="1" type="noConversion"/>
  </si>
  <si>
    <t>SA249219BU  VA001 1CA 2/8</t>
    <phoneticPr fontId="1" type="noConversion"/>
  </si>
  <si>
    <t>B2366 VB052 3T 3/8  12*16</t>
    <phoneticPr fontId="1" type="noConversion"/>
  </si>
  <si>
    <t>BC02 JVB069 2CA 1/8 kt</t>
    <phoneticPr fontId="1" type="noConversion"/>
  </si>
  <si>
    <t>BTC2366 VB008 1T 1/8 kt</t>
    <phoneticPr fontId="1" type="noConversion"/>
  </si>
  <si>
    <t>BPM2285 VB001 1CA 2/8  2*3</t>
    <phoneticPr fontId="1" type="noConversion"/>
  </si>
  <si>
    <t>BFC08-130 VB027 SỢI X-XY 1CA 2/8 kt</t>
    <phoneticPr fontId="1" type="noConversion"/>
  </si>
  <si>
    <t>BM2813(S) VB002 1CA 1/8</t>
    <phoneticPr fontId="1" type="noConversion"/>
  </si>
  <si>
    <t>BCVC12B VA066U 7T 2/8</t>
    <phoneticPr fontId="1" type="noConversion"/>
  </si>
  <si>
    <t>BTE(LF)1004 JVB002 13T 31/7</t>
    <phoneticPr fontId="1" type="noConversion"/>
  </si>
  <si>
    <t>SA249219BCVC-U VA001U 1CA 1/8</t>
    <phoneticPr fontId="1" type="noConversion"/>
  </si>
  <si>
    <t>BCVC(40ETB)104 VA040 9T 13/8</t>
    <phoneticPr fontId="1" type="noConversion"/>
  </si>
  <si>
    <t>BC02 VB061-A 8T 19/8</t>
    <phoneticPr fontId="1" type="noConversion"/>
  </si>
  <si>
    <t>BCVC2621  VB004 1CA 1/8  0*3</t>
    <phoneticPr fontId="1" type="noConversion"/>
  </si>
  <si>
    <t xml:space="preserve">BMC03 VB003 1T 31/7  </t>
    <phoneticPr fontId="1" type="noConversion"/>
  </si>
  <si>
    <t>BM1004 JVA002U  10T  31/7</t>
    <phoneticPr fontId="1" type="noConversion"/>
  </si>
  <si>
    <t>B1025 VA017U 1.5T 5/8</t>
    <phoneticPr fontId="1" type="noConversion"/>
  </si>
  <si>
    <t>B1052P(EA30) VA004 1CA 31/7</t>
    <phoneticPr fontId="1" type="noConversion"/>
  </si>
  <si>
    <t>SA155794D(ER10-XY-U)  3VA010U   xy 5T 31/7</t>
    <phoneticPr fontId="1" type="noConversion"/>
  </si>
  <si>
    <t>B1019 VA113U 1.5T 1/8</t>
    <phoneticPr fontId="1" type="noConversion"/>
  </si>
  <si>
    <t>B04B(AA) TJVA015U 31/7</t>
    <phoneticPr fontId="1" type="noConversion"/>
  </si>
  <si>
    <t>SO41269A(BPM50-U) VA007U 5T 3/8  18*23</t>
    <phoneticPr fontId="1" type="noConversion"/>
  </si>
  <si>
    <t>B0284(OCR) VA003U 1T 2/8</t>
    <phoneticPr fontId="1" type="noConversion"/>
  </si>
  <si>
    <t>SA229142AU VA007U 1.5T 31/7</t>
    <phoneticPr fontId="1" type="noConversion"/>
  </si>
  <si>
    <t>B14B(OCR) VA008U 2CA 30/7</t>
    <phoneticPr fontId="1" type="noConversion"/>
  </si>
  <si>
    <t>B1069(OCN) JVA035U 1T 30/7</t>
    <phoneticPr fontId="1" type="noConversion"/>
  </si>
  <si>
    <t>B1069(OCR) VA009U 1CA 3/8</t>
    <phoneticPr fontId="1" type="noConversion"/>
  </si>
  <si>
    <t>BCVC2366 VB011 1T 6/8</t>
    <phoneticPr fontId="1" type="noConversion"/>
  </si>
  <si>
    <t>B07B JVA116U 22/8</t>
    <phoneticPr fontId="1" type="noConversion"/>
  </si>
  <si>
    <t>B07B VA116 22/8</t>
    <phoneticPr fontId="1" type="noConversion"/>
  </si>
  <si>
    <t xml:space="preserve">B2367(OCN) VB010 4T 2/8  </t>
    <phoneticPr fontId="1" type="noConversion"/>
  </si>
  <si>
    <t>B0210 VB110  1T 3/8 kt</t>
    <phoneticPr fontId="1" type="noConversion"/>
  </si>
  <si>
    <t>BOC(90)2561 TJVB013 1T 1/8 kt</t>
    <phoneticPr fontId="1" type="noConversion"/>
  </si>
  <si>
    <t>B0293 VB016 1.5T 3/8  kt</t>
    <phoneticPr fontId="1" type="noConversion"/>
  </si>
  <si>
    <t>B05 VB062 20T 22/8</t>
    <phoneticPr fontId="1" type="noConversion"/>
  </si>
  <si>
    <t>B2347 VB063 chạy trc 706 LB 2CA 6/8</t>
    <phoneticPr fontId="1" type="noConversion"/>
  </si>
  <si>
    <t xml:space="preserve">BM1045 VA005U 1T 1/8  </t>
    <phoneticPr fontId="1" type="noConversion"/>
  </si>
  <si>
    <t>B1029(EA30) VA013U 1CA 6/8</t>
    <phoneticPr fontId="1" type="noConversion"/>
  </si>
  <si>
    <t>BCVCAB072 VA003 SỢI B-A 2CA 4/8</t>
    <phoneticPr fontId="1" type="noConversion"/>
  </si>
  <si>
    <t xml:space="preserve">B0213 VB018 2CA 3/8 </t>
    <phoneticPr fontId="1" type="noConversion"/>
  </si>
  <si>
    <t>B25(C50/R25/ERT25)  JVB004 5T 7/8  13*31</t>
    <phoneticPr fontId="1" type="noConversion"/>
  </si>
  <si>
    <t xml:space="preserve">BC03(C60/ETB40)  VB013 3T 4/8  </t>
    <phoneticPr fontId="1" type="noConversion"/>
  </si>
  <si>
    <t>BCR0208 JVB002 9T 15/8</t>
    <phoneticPr fontId="1" type="noConversion"/>
  </si>
  <si>
    <t>SGR92083B(CVC-AA) VB036 3T 3/8 kt</t>
    <phoneticPr fontId="1" type="noConversion"/>
  </si>
  <si>
    <t>B2789  VB008 2CA 3/8 kt</t>
    <phoneticPr fontId="1" type="noConversion"/>
  </si>
  <si>
    <t>B1ND08(CVC) VB013 8T 8/8</t>
    <phoneticPr fontId="1" type="noConversion"/>
  </si>
  <si>
    <t>BCV04B VA067U 1T 15/8</t>
    <phoneticPr fontId="1" type="noConversion"/>
  </si>
  <si>
    <t>BPM1069 VA084U 1T 8/8</t>
    <phoneticPr fontId="1" type="noConversion"/>
  </si>
  <si>
    <t>BCVC07B VA077U 1T 3/8</t>
    <phoneticPr fontId="1" type="noConversion"/>
  </si>
  <si>
    <t>B2652 VA038UUA 1T 4/8</t>
    <phoneticPr fontId="1" type="noConversion"/>
  </si>
  <si>
    <t>B14B(OCR) VA009U 1CA 3/8</t>
    <phoneticPr fontId="1" type="noConversion"/>
  </si>
  <si>
    <t>BUM047AER30-AA-U TJVA001U 12/8</t>
    <phoneticPr fontId="1" type="noConversion"/>
  </si>
  <si>
    <t xml:space="preserve">B2656 JVB040 2.5T 7/8 </t>
    <phoneticPr fontId="1" type="noConversion"/>
  </si>
  <si>
    <t>BNC01 VB038 2CA 6/8  1*3</t>
    <phoneticPr fontId="1" type="noConversion"/>
  </si>
  <si>
    <t xml:space="preserve">BTR(50)2282(AA)  VB001 1CA 3/8  </t>
    <phoneticPr fontId="1" type="noConversion"/>
  </si>
  <si>
    <t xml:space="preserve">B0208 VB052UA 1.5T 4/8 </t>
    <phoneticPr fontId="1" type="noConversion"/>
  </si>
  <si>
    <t>B2656 VB038 8T 9/8</t>
    <phoneticPr fontId="1" type="noConversion"/>
  </si>
  <si>
    <t>BTC0209(AA) JVB002 1T 7/8 4*8</t>
    <phoneticPr fontId="1" type="noConversion"/>
  </si>
  <si>
    <t>SO249086AAB VB003 SỢI B-A 1T 19/8</t>
    <phoneticPr fontId="1" type="noConversion"/>
  </si>
  <si>
    <t>B2652-OE VA040U 138.89 LB</t>
    <phoneticPr fontId="1" type="noConversion"/>
  </si>
  <si>
    <t xml:space="preserve">B06A(FH18)(BOC)-OE TVA034UY 2204 LB </t>
    <phoneticPr fontId="1" type="noConversion"/>
  </si>
  <si>
    <t>8/8.</t>
    <phoneticPr fontId="1" type="noConversion"/>
  </si>
  <si>
    <t>BOC1005-OE VA002UY  6951 LB</t>
    <phoneticPr fontId="1" type="noConversion"/>
  </si>
  <si>
    <t>8/7.</t>
    <phoneticPr fontId="1" type="noConversion"/>
  </si>
  <si>
    <t>8/10-8/14</t>
    <phoneticPr fontId="1" type="noConversion"/>
  </si>
  <si>
    <t>SA200871ACVC-U VA035U 3T 5/8</t>
    <phoneticPr fontId="1" type="noConversion"/>
  </si>
  <si>
    <t>BCVC110 VA002 1CA 6/8</t>
    <phoneticPr fontId="1" type="noConversion"/>
  </si>
  <si>
    <t>B1124V(EA20) VA001 CHẠY TRC 2204.6 LB 1T 6/8</t>
    <phoneticPr fontId="1" type="noConversion"/>
  </si>
  <si>
    <t>B1047 VA026U 1CA 7/8</t>
    <phoneticPr fontId="1" type="noConversion"/>
  </si>
  <si>
    <t>BSO4049CERT50/C25/R25-EY-U TJVA002U  SỢI X-XY  3T 3/8</t>
    <phoneticPr fontId="1" type="noConversion"/>
  </si>
  <si>
    <t>B2652(C60/ERT40-AA) JVA002U 1CA 6/8</t>
    <phoneticPr fontId="1" type="noConversion"/>
  </si>
  <si>
    <t xml:space="preserve">BTC0210(AA) JVB002 2T 7/8 </t>
    <phoneticPr fontId="1" type="noConversion"/>
  </si>
  <si>
    <t>B2621(C60/ETB40) VB004 2T  7/8  4*8</t>
    <phoneticPr fontId="1" type="noConversion"/>
  </si>
  <si>
    <t xml:space="preserve">B0210(AA) JVB002 5T 6/8  </t>
    <phoneticPr fontId="1" type="noConversion"/>
  </si>
  <si>
    <t>B2214 VB090 HẾT CÒN LẠI 10T 11/8</t>
    <phoneticPr fontId="1" type="noConversion"/>
  </si>
  <si>
    <t>B2367(OCN50/M50) VB005 2CA 6/8 2*3</t>
    <phoneticPr fontId="1" type="noConversion"/>
  </si>
  <si>
    <t>BSO4055BERT50/C25/R25-EY-U TJVA002U SỢI X - XY 3T 6/8</t>
    <phoneticPr fontId="1" type="noConversion"/>
  </si>
  <si>
    <t>SA200871AU VA058 3T 6/8</t>
    <phoneticPr fontId="1" type="noConversion"/>
  </si>
  <si>
    <t>B1069 VA168 1CA 6/8</t>
    <phoneticPr fontId="1" type="noConversion"/>
  </si>
  <si>
    <t>BA004A VA009U 1CA 6/8</t>
    <phoneticPr fontId="1" type="noConversion"/>
  </si>
  <si>
    <t>B1069A3(NP) JVA0011U 1CA 10/8</t>
    <phoneticPr fontId="1" type="noConversion"/>
  </si>
  <si>
    <t>B11B VA082U 1.5T 9/8</t>
    <phoneticPr fontId="1" type="noConversion"/>
  </si>
  <si>
    <t>BUM047AER30-AA-U TJVA002U  24T 12/9</t>
    <phoneticPr fontId="1" type="noConversion"/>
  </si>
  <si>
    <t>SA200871AU VA057 7T 7/8</t>
    <phoneticPr fontId="1" type="noConversion"/>
  </si>
  <si>
    <t>SA240274CACVC VB002 11CA 9/8  0*3</t>
    <phoneticPr fontId="1" type="noConversion"/>
  </si>
  <si>
    <t>BPM2366 VB003 1.5T 8/8 7*8</t>
    <phoneticPr fontId="1" type="noConversion"/>
  </si>
  <si>
    <t>BTC2401 VB003 1T 8/8  7*8</t>
    <phoneticPr fontId="1" type="noConversion"/>
  </si>
  <si>
    <t>B2621 VB068 12T 17/8</t>
    <phoneticPr fontId="1" type="noConversion"/>
  </si>
  <si>
    <t>B2282 VB027 7T 14/8</t>
    <phoneticPr fontId="1" type="noConversion"/>
  </si>
  <si>
    <t>BVA004U VA001U  1CA 7/8</t>
    <phoneticPr fontId="1" type="noConversion"/>
  </si>
  <si>
    <t>B06A(FH18)(BOC20-AA) TJVA016UY 6T 10/8</t>
    <phoneticPr fontId="1" type="noConversion"/>
  </si>
  <si>
    <t>BTC2366 VB009 1CA 10/8</t>
    <phoneticPr fontId="1" type="noConversion"/>
  </si>
  <si>
    <t>SGR41667A(CVC20-XY) VA037 SỢI X-XY  7/8</t>
    <phoneticPr fontId="1" type="noConversion"/>
  </si>
  <si>
    <t>BOC0002 VA001U 1CA 8/8</t>
    <phoneticPr fontId="1" type="noConversion"/>
  </si>
  <si>
    <t>BC02 VB061-A 7T 7/8 kt</t>
    <phoneticPr fontId="1" type="noConversion"/>
  </si>
  <si>
    <t>SGR41667A(CVC20-XY) VB037 XY 7/8</t>
    <phoneticPr fontId="1" type="noConversion"/>
  </si>
  <si>
    <t>B0208(C60/ETB40) VB014 1.5T 10/8 8*16</t>
    <phoneticPr fontId="1" type="noConversion"/>
  </si>
  <si>
    <t>B0212 VB044 1CA 7/8 kt</t>
    <phoneticPr fontId="1" type="noConversion"/>
  </si>
  <si>
    <t>SGR4015D(BPM) VB002 2CA 7/8 kt</t>
    <phoneticPr fontId="1" type="noConversion"/>
  </si>
  <si>
    <t>BTE(50LF)2657A VB001 3T 9/8  kt</t>
    <phoneticPr fontId="1" type="noConversion"/>
  </si>
  <si>
    <t>B0285 VB017 2CA 9/8</t>
    <phoneticPr fontId="1" type="noConversion"/>
  </si>
  <si>
    <t>B2214 TJVB091 1T 12/8</t>
    <phoneticPr fontId="1" type="noConversion"/>
  </si>
  <si>
    <t>SA155427K TJVB007 2CA 13/8</t>
    <phoneticPr fontId="1" type="noConversion"/>
  </si>
  <si>
    <t>BOC(90)1005 JVA002UY 2CA 8/8</t>
    <phoneticPr fontId="1" type="noConversion"/>
  </si>
  <si>
    <t>SO205078BBM100 VB002 1CA 8/8</t>
    <phoneticPr fontId="1" type="noConversion"/>
  </si>
  <si>
    <t>SGR41667A(CVC20-XY) VA037 SỢI X-XY  9/8  3*6</t>
    <phoneticPr fontId="1" type="noConversion"/>
  </si>
  <si>
    <t>SO231443BBTE50LF JVB005H 1T 12/8 6*8</t>
    <phoneticPr fontId="1" type="noConversion"/>
  </si>
  <si>
    <t>SGR92083B(CR30) VB005 1.5T 11/8 6*9</t>
    <phoneticPr fontId="1" type="noConversion"/>
  </si>
  <si>
    <t>SO206427I VB019 2CA 9/8 kt</t>
    <phoneticPr fontId="1" type="noConversion"/>
  </si>
  <si>
    <t>B2805 JVB005 1CA 11/8</t>
    <phoneticPr fontId="1" type="noConversion"/>
  </si>
  <si>
    <t>B0210(OCR)  VB004 1CA 12/8</t>
    <phoneticPr fontId="1" type="noConversion"/>
  </si>
  <si>
    <t>B06G(FH18)(BOC20-AA) VB008 11/8</t>
    <phoneticPr fontId="1" type="noConversion"/>
  </si>
  <si>
    <t>B06G(FH18)(BOC20-AA) VB009 26T 15/9</t>
    <phoneticPr fontId="1" type="noConversion"/>
  </si>
  <si>
    <t>sản phẩm</t>
    <phoneticPr fontId="1" type="noConversion"/>
  </si>
  <si>
    <t>số máy thô</t>
    <phoneticPr fontId="1" type="noConversion"/>
  </si>
  <si>
    <t>TỔNG</t>
    <phoneticPr fontId="1" type="noConversion"/>
  </si>
  <si>
    <t>SỐ MÁY CKY</t>
    <phoneticPr fontId="1" type="noConversion"/>
  </si>
  <si>
    <t>SA155427K VB006 2CA 10/8  0*3</t>
    <phoneticPr fontId="1" type="noConversion"/>
  </si>
  <si>
    <t>B2347 VB063 1.5T 11/8  kt</t>
    <phoneticPr fontId="1" type="noConversion"/>
  </si>
  <si>
    <t>BPM0281  VB006 1CA 10/8</t>
    <phoneticPr fontId="1" type="noConversion"/>
  </si>
  <si>
    <t>B0210(OCR80/ERT20) VB001 1CA 12/8</t>
    <phoneticPr fontId="1" type="noConversion"/>
  </si>
  <si>
    <t>SO06093D VB015 2CA 10/8 kt</t>
    <phoneticPr fontId="1" type="noConversion"/>
  </si>
  <si>
    <t>B2347(C60/ETB40) VB015 1CA 12/8 kt</t>
    <phoneticPr fontId="1" type="noConversion"/>
  </si>
  <si>
    <t>B0201A4(NP)  JVB001 1CA 10/8 kt</t>
    <phoneticPr fontId="1" type="noConversion"/>
  </si>
  <si>
    <t>B1069(OCR) JV002UUA 1.5T 11/8</t>
    <phoneticPr fontId="1" type="noConversion"/>
  </si>
  <si>
    <t>SA239288BOCN60/ERT40-U JVA004U 2.5T 12/8</t>
    <phoneticPr fontId="1" type="noConversion"/>
  </si>
  <si>
    <t>B1016 VA040UUA 2CA 10/8</t>
    <phoneticPr fontId="1" type="noConversion"/>
  </si>
  <si>
    <t>B1034 VA022UUA  2CA 9/8</t>
    <phoneticPr fontId="1" type="noConversion"/>
  </si>
  <si>
    <t>B1062 VA022U 1.5T 9/8</t>
    <phoneticPr fontId="1" type="noConversion"/>
  </si>
  <si>
    <t>SG249007AU VA002UUUA 2CA 11/8</t>
    <phoneticPr fontId="1" type="noConversion"/>
  </si>
  <si>
    <t>B1019 VA113U 1.5T 11/8</t>
    <phoneticPr fontId="1" type="noConversion"/>
  </si>
  <si>
    <t>B1069(OCN) JVA038U 1CA 10/8</t>
    <phoneticPr fontId="1" type="noConversion"/>
  </si>
  <si>
    <t>B1069(OCN) VA037 1.5T 11/8</t>
    <phoneticPr fontId="1" type="noConversion"/>
  </si>
  <si>
    <t>BA37L(U) VA131U 2CA 10/8</t>
    <phoneticPr fontId="1" type="noConversion"/>
  </si>
  <si>
    <t>B1052P((EA30) VA005U 2CA 10/8</t>
    <phoneticPr fontId="1" type="noConversion"/>
  </si>
  <si>
    <t>B04B(AA) TJVA084U 2T 9/8</t>
    <phoneticPr fontId="1" type="noConversion"/>
  </si>
  <si>
    <t>SGR72518A VA016 2T 11/8</t>
    <phoneticPr fontId="1" type="noConversion"/>
  </si>
  <si>
    <t>B02B VA11U 1CA 9/8</t>
    <phoneticPr fontId="1" type="noConversion"/>
  </si>
  <si>
    <t>B1004 VA183UUA 2CA 12/8</t>
    <phoneticPr fontId="1" type="noConversion"/>
  </si>
  <si>
    <t>B1069(OCN60/ETB40-AA) JVA014U 2CA 10/8</t>
    <phoneticPr fontId="1" type="noConversion"/>
  </si>
  <si>
    <t>BCVC07B VA078U 2CA 9/8</t>
    <phoneticPr fontId="1" type="noConversion"/>
  </si>
  <si>
    <t>BCVC109 VA006U 2T 8/8</t>
    <phoneticPr fontId="1" type="noConversion"/>
  </si>
  <si>
    <t>BCVC11B VA122U 1T 6/8</t>
    <phoneticPr fontId="1" type="noConversion"/>
  </si>
  <si>
    <t>B09B(C60/ETB40) VA013U 2CA 9/8</t>
    <phoneticPr fontId="1" type="noConversion"/>
  </si>
  <si>
    <t>SO249221ABM100-BD7-U VA00U 1CA 9/8</t>
    <phoneticPr fontId="1" type="noConversion"/>
  </si>
  <si>
    <t>BVA004C VA002U  1CA 8/8</t>
    <phoneticPr fontId="1" type="noConversion"/>
  </si>
  <si>
    <t>BCVC104 VA046U 2CA 13/8</t>
    <phoneticPr fontId="1" type="noConversion"/>
  </si>
  <si>
    <t>B07B VA117U 19T 17/9</t>
    <phoneticPr fontId="1" type="noConversion"/>
  </si>
  <si>
    <t>BCR(30)2214A  VB015 1.5T 12/8  14*16</t>
    <phoneticPr fontId="1" type="noConversion"/>
  </si>
  <si>
    <t>SA239066CTC-SD VB009 2CA 15/8</t>
    <phoneticPr fontId="1" type="noConversion"/>
  </si>
  <si>
    <t>BSA3871ABPM20 TJVB015 1T 13/8 8*8+bù</t>
    <phoneticPr fontId="1" type="noConversion"/>
  </si>
  <si>
    <t>BC03P(EA30-AA) JVB009 1CA 16/8</t>
    <phoneticPr fontId="1" type="noConversion"/>
  </si>
  <si>
    <t>BSY5514BBPM20 JVB006 1CA 15/8</t>
    <phoneticPr fontId="1" type="noConversion"/>
  </si>
  <si>
    <t>B2207(C60/ETB40) VB001 2CA 15/8</t>
    <phoneticPr fontId="1" type="noConversion"/>
  </si>
  <si>
    <t>BCVC0460 VA002U  1T 12/8</t>
    <phoneticPr fontId="1" type="noConversion"/>
  </si>
  <si>
    <t>SR215328ABPM20-U VA006U  1CA 14/8</t>
    <phoneticPr fontId="1" type="noConversion"/>
  </si>
  <si>
    <t>B1005 JVA029U 1T 14/8</t>
    <phoneticPr fontId="1" type="noConversion"/>
  </si>
  <si>
    <t>BA37L(U)  TJVA132U 1.5T 11/8</t>
    <phoneticPr fontId="1" type="noConversion"/>
  </si>
  <si>
    <t>BUM051AER30-AAA-U TJVA001I 2.5T 14/8</t>
    <phoneticPr fontId="1" type="noConversion"/>
  </si>
  <si>
    <t>B1068 JVA121U 1CA 15/8</t>
    <phoneticPr fontId="1" type="noConversion"/>
  </si>
  <si>
    <t>B0284(OCN) VA012U 6T 19/8</t>
    <phoneticPr fontId="1" type="noConversion"/>
  </si>
  <si>
    <t>B09B VA085U 2.5T 14/8</t>
    <phoneticPr fontId="1" type="noConversion"/>
  </si>
  <si>
    <t>B1124P(EA30) JVA001U 2CA 11/8</t>
    <phoneticPr fontId="1" type="noConversion"/>
  </si>
  <si>
    <t>B1068 VA122 2CA 15/8</t>
    <phoneticPr fontId="1" type="noConversion"/>
  </si>
  <si>
    <t>BN091AC54/ERN20/ERT20/OC6-U TVA010U  18/8</t>
    <phoneticPr fontId="1" type="noConversion"/>
  </si>
  <si>
    <t>BSB4041AERT50/C25/R25-EY-U TVA003U SỢI X-XY 7T 12/8</t>
    <phoneticPr fontId="1" type="noConversion"/>
  </si>
  <si>
    <t>BSV4050BERT50/C25/R25-EY-U TJVA002U SỢI X-XY 1T 15/8</t>
    <phoneticPr fontId="1" type="noConversion"/>
  </si>
  <si>
    <t>SO17056F VB010 1T 13/8</t>
    <phoneticPr fontId="1" type="noConversion"/>
  </si>
  <si>
    <t>BM0210 VB005 2CA 13/8  2*3</t>
    <phoneticPr fontId="1" type="noConversion"/>
  </si>
  <si>
    <t>B2789 JVB009UA 1T 14/8  4*8</t>
    <phoneticPr fontId="1" type="noConversion"/>
  </si>
  <si>
    <t>BPM0281 JVB006-A 1CA 14/8  2*4</t>
    <phoneticPr fontId="1" type="noConversion"/>
  </si>
  <si>
    <t xml:space="preserve">B0281 VB057 2T 14/8  </t>
    <phoneticPr fontId="1" type="noConversion"/>
  </si>
  <si>
    <t>BCVC1004 JVA020U 1CA 20/8</t>
    <phoneticPr fontId="1" type="noConversion"/>
  </si>
  <si>
    <t>B1124(C60/ETB40)  VA011U 22T 19/8</t>
    <phoneticPr fontId="1" type="noConversion"/>
  </si>
  <si>
    <t>BM12B VA046U 5T 14/8</t>
    <phoneticPr fontId="1" type="noConversion"/>
  </si>
  <si>
    <t>BN091AC54/ERN20/ERT20/OC6-U TVA010U  15/8</t>
    <phoneticPr fontId="1" type="noConversion"/>
  </si>
  <si>
    <t>BAB037 VA025U SỢI B-A 1T 18/8</t>
    <phoneticPr fontId="1" type="noConversion"/>
  </si>
  <si>
    <t xml:space="preserve">BOC0212 VB001 1T 13/8 </t>
    <phoneticPr fontId="1" type="noConversion"/>
  </si>
  <si>
    <t>B2366 JVB053 1.5T  14/8</t>
    <phoneticPr fontId="1" type="noConversion"/>
  </si>
  <si>
    <t xml:space="preserve">B2798 VB010UA 1T 14/8 </t>
    <phoneticPr fontId="1" type="noConversion"/>
  </si>
  <si>
    <t>B0280 VB033 1.5T 14/8</t>
    <phoneticPr fontId="1" type="noConversion"/>
  </si>
  <si>
    <t>SY229305C VB007 2CA 16/8 kt</t>
    <phoneticPr fontId="1" type="noConversion"/>
  </si>
  <si>
    <t>BPM0210 JVB026 7T 18/8</t>
    <phoneticPr fontId="1" type="noConversion"/>
  </si>
  <si>
    <t xml:space="preserve">SA200871AC60/ERT40-U-OE VA011U </t>
    <phoneticPr fontId="1" type="noConversion"/>
  </si>
  <si>
    <t>8/23-8/26</t>
    <phoneticPr fontId="1" type="noConversion"/>
  </si>
  <si>
    <t>B0279 JVB031 4T 15/8</t>
    <phoneticPr fontId="1" type="noConversion"/>
  </si>
  <si>
    <t>B1052P(EA30) VA006U 1T 16/8</t>
    <phoneticPr fontId="1" type="noConversion"/>
  </si>
  <si>
    <t>B14B(OCR) VA010U 2CA 17/8</t>
    <phoneticPr fontId="1" type="noConversion"/>
  </si>
  <si>
    <t>B1069(OCN) JVA040U 2CA 18/8</t>
    <phoneticPr fontId="1" type="noConversion"/>
  </si>
  <si>
    <t xml:space="preserve">BOC0459 VA002U 1T  16/8  </t>
    <phoneticPr fontId="1" type="noConversion"/>
  </si>
  <si>
    <t>SB239264AU 3VA004UUA 3.5T 19/8</t>
    <phoneticPr fontId="1" type="noConversion"/>
  </si>
  <si>
    <t>BPM04B VA007U 2CA 18/8</t>
    <phoneticPr fontId="1" type="noConversion"/>
  </si>
  <si>
    <t>BPM1069 VA085U  2CA 20/8</t>
    <phoneticPr fontId="1" type="noConversion"/>
  </si>
  <si>
    <t>B1069(OCN) JVA039U 2CA 20/8</t>
    <phoneticPr fontId="1" type="noConversion"/>
  </si>
  <si>
    <t>BPM0210 VB027 1CA 20/8</t>
    <phoneticPr fontId="1" type="noConversion"/>
  </si>
  <si>
    <t>B2789 VB010 2CA 16/8</t>
    <phoneticPr fontId="1" type="noConversion"/>
  </si>
  <si>
    <t>B0285 VB018 2CA 15/8</t>
    <phoneticPr fontId="1" type="noConversion"/>
  </si>
  <si>
    <t>B2781 VB019 2CA 16/8</t>
    <phoneticPr fontId="1" type="noConversion"/>
  </si>
  <si>
    <t>B04B VA083U  24/8</t>
    <phoneticPr fontId="1" type="noConversion"/>
  </si>
  <si>
    <t>B06A(FH18(BOC10) TJVA086UY 28/8</t>
    <phoneticPr fontId="1" type="noConversion"/>
  </si>
  <si>
    <t>B06A(FH18(BOC10) TJVA086UY 29T 28/8</t>
    <phoneticPr fontId="1" type="noConversion"/>
  </si>
  <si>
    <t>B2347 VB064 2CA 16/8</t>
    <phoneticPr fontId="1" type="noConversion"/>
  </si>
  <si>
    <t>SGR92083B(AA) TJVB100 6T 22/8  kt</t>
    <phoneticPr fontId="1" type="noConversion"/>
  </si>
  <si>
    <t>SO206427IBPM-DN VB004 2CA 15/8</t>
    <phoneticPr fontId="1" type="noConversion"/>
  </si>
  <si>
    <t>SGR4015D(BPM60/M40) JVB001 2CA 15/8</t>
    <phoneticPr fontId="1" type="noConversion"/>
  </si>
  <si>
    <t>BM2366(BPM60) JVB001 2CA 15/8</t>
    <phoneticPr fontId="1" type="noConversion"/>
  </si>
  <si>
    <t>SGR92083B(C60/ERT40-AA) JVB003 2CA 15/8</t>
    <phoneticPr fontId="1" type="noConversion"/>
  </si>
  <si>
    <t>B0210(OCN-H) VB002H 4T 15/8  kt</t>
    <phoneticPr fontId="1" type="noConversion"/>
  </si>
  <si>
    <t>SA155427K TJVB008 3T 19/8  13*16</t>
    <phoneticPr fontId="1" type="noConversion"/>
  </si>
  <si>
    <t>B2214 VB093 1CA 17/8 1*3</t>
    <phoneticPr fontId="1" type="noConversion"/>
  </si>
  <si>
    <t>B0213  VB019  2CA 78/8</t>
    <phoneticPr fontId="1" type="noConversion"/>
  </si>
  <si>
    <t>B2872 VB002 1.5T 16/8  kt</t>
    <phoneticPr fontId="1" type="noConversion"/>
  </si>
  <si>
    <t>B0202 VB025 1T 20/8</t>
    <phoneticPr fontId="1" type="noConversion"/>
  </si>
  <si>
    <t xml:space="preserve">B2207 VB012 1CA 16/8 </t>
    <phoneticPr fontId="1" type="noConversion"/>
  </si>
  <si>
    <t>B2212 VB057 1CA 16/8 kt</t>
    <phoneticPr fontId="1" type="noConversion"/>
  </si>
  <si>
    <t>BA37M(AA)-RM JVB003 1CA 19/8</t>
    <phoneticPr fontId="1" type="noConversion"/>
  </si>
  <si>
    <t>B2347 VB065 1CA 19/8</t>
    <phoneticPr fontId="1" type="noConversion"/>
  </si>
  <si>
    <t>B0281  JVB058 1CA 20/8</t>
    <phoneticPr fontId="1" type="noConversion"/>
  </si>
  <si>
    <t>B2207(OCN) VB004 1CA 21/8</t>
    <phoneticPr fontId="1" type="noConversion"/>
  </si>
  <si>
    <t>BA37L(C60/ERT40-AA-U) JVB002 1CA 20/8</t>
    <phoneticPr fontId="1" type="noConversion"/>
  </si>
  <si>
    <t>SO41269A(BPM20-U) TJVA008UY 1T 19/8</t>
    <phoneticPr fontId="1" type="noConversion"/>
  </si>
  <si>
    <t>B06A(FH18)(M50/C45/OC5-AA) JVA003UY  2T 20/8</t>
    <phoneticPr fontId="1" type="noConversion"/>
  </si>
  <si>
    <t>BOC(90)1005  JVA003UY 1CA 18/8</t>
    <phoneticPr fontId="1" type="noConversion"/>
  </si>
  <si>
    <t>SA200871AU 3VA059U 1CA 18/8</t>
    <phoneticPr fontId="1" type="noConversion"/>
  </si>
  <si>
    <t>B02B VA118U 1T 21/8</t>
    <phoneticPr fontId="1" type="noConversion"/>
  </si>
  <si>
    <t>B06G(FH18)(BOC20-AA) VB009 26T 15/9</t>
    <phoneticPr fontId="1" type="noConversion"/>
  </si>
  <si>
    <t>B06G(FH18)(BOC20-AA) VB009 26T 15/9</t>
    <phoneticPr fontId="1" type="noConversion"/>
  </si>
  <si>
    <t>BPM(20)2214  VB010 1T 17/8  KT</t>
    <phoneticPr fontId="1" type="noConversion"/>
  </si>
  <si>
    <t>B2796 VB017UA 2CA 17/8  KT</t>
    <phoneticPr fontId="1" type="noConversion"/>
  </si>
  <si>
    <t>BOC(90)C02 TJVB028UY 10T 28/8 ngừng</t>
    <phoneticPr fontId="1" type="noConversion"/>
  </si>
  <si>
    <t>BM0281 VB003 1CA 18/8 KT</t>
  </si>
  <si>
    <t>BOC(90)C02 TJVB028UY 10T 28/8</t>
  </si>
  <si>
    <t xml:space="preserve">B2214 VB092  1.5T  17/8 </t>
  </si>
  <si>
    <t>SA219061C VB022 1T 20/8 0*8</t>
  </si>
  <si>
    <t>B2367 VB027UA 3.5T 20/8 18*26+8</t>
  </si>
  <si>
    <t>BSA3871ABPM20 TJVB016 1T 20/8 4*8</t>
  </si>
  <si>
    <t>SO17056F  VB011 2CA 20/8</t>
  </si>
  <si>
    <t>B0208 VB053UA 2CA 19/8 1*3</t>
  </si>
  <si>
    <t>B0208  VB054 4T 19/8  22*23</t>
    <phoneticPr fontId="1" type="noConversion"/>
  </si>
  <si>
    <t>B0213(C60/ETB40) VB004 2CA 19/8 2*3</t>
    <phoneticPr fontId="1" type="noConversion"/>
  </si>
  <si>
    <t>B2656  VB041  2CA 18/8 kt</t>
    <phoneticPr fontId="1" type="noConversion"/>
  </si>
  <si>
    <t>B2367 VB027UA-A  kt</t>
    <phoneticPr fontId="1" type="noConversion"/>
  </si>
  <si>
    <t>B11B VA083U 1.5T 20/8.  0*8</t>
    <phoneticPr fontId="1" type="noConversion"/>
  </si>
  <si>
    <t>B12B VA136U 1T 19/8</t>
    <phoneticPr fontId="1" type="noConversion"/>
  </si>
  <si>
    <t>BCVC12B VA067U 2CA 19/8  1*4</t>
    <phoneticPr fontId="1" type="noConversion"/>
  </si>
  <si>
    <t>B06A(FH18)(T65/TE35-AA) TJVA002U 1.5T 20/8 11*16</t>
    <phoneticPr fontId="1" type="noConversion"/>
  </si>
  <si>
    <t>B1069 TJVA170U 1.5T 21/8  1*10</t>
    <phoneticPr fontId="1" type="noConversion"/>
  </si>
  <si>
    <t>BVA004PAA  JVA002 1CA 21/8  kt</t>
    <phoneticPr fontId="1" type="noConversion"/>
  </si>
  <si>
    <t>0#</t>
    <phoneticPr fontId="1" type="noConversion"/>
  </si>
  <si>
    <t>15#</t>
    <phoneticPr fontId="1" type="noConversion"/>
  </si>
  <si>
    <t>22#</t>
    <phoneticPr fontId="1" type="noConversion"/>
  </si>
  <si>
    <t>BAB073 VB026 SỢI B-A  5T 17//8</t>
    <phoneticPr fontId="1" type="noConversion"/>
  </si>
  <si>
    <t>B1016(OCR) VA002U 1.5T 20/8  4*10</t>
    <phoneticPr fontId="1" type="noConversion"/>
  </si>
  <si>
    <t>B1069 VA169U 2CA 21/8</t>
    <phoneticPr fontId="1" type="noConversion"/>
  </si>
  <si>
    <t>SR215328AU JVA007U 1CA 20/8</t>
    <phoneticPr fontId="1" type="noConversion"/>
  </si>
  <si>
    <t>BM0204 VA015U 2CA 23/8</t>
    <phoneticPr fontId="1" type="noConversion"/>
  </si>
  <si>
    <t>BPM04B  VA007U 2CA 21/8</t>
    <phoneticPr fontId="1" type="noConversion"/>
  </si>
  <si>
    <t>B1019 VA115U 1CA 21/8</t>
    <phoneticPr fontId="1" type="noConversion"/>
  </si>
  <si>
    <t>B1004(C60/ETB40) VA011 6T 21/8</t>
    <phoneticPr fontId="1" type="noConversion"/>
  </si>
  <si>
    <t xml:space="preserve">B2385 VB020UA 4T 23/8 </t>
    <phoneticPr fontId="1" type="noConversion"/>
  </si>
  <si>
    <t>SGR91885D VB009  1.5T 20/8  3*8</t>
    <phoneticPr fontId="1" type="noConversion"/>
  </si>
  <si>
    <t>B0278 VB056 TẠM 6 BÚP  22/8</t>
    <phoneticPr fontId="1" type="noConversion"/>
  </si>
  <si>
    <t>B1069(OCN)  VA041 2CA 23/8</t>
    <phoneticPr fontId="1" type="noConversion"/>
  </si>
  <si>
    <t>B1016 VA041UGEC  2CA 20/8  0*4</t>
    <phoneticPr fontId="1" type="noConversion"/>
  </si>
  <si>
    <t>B1069(OCN/ETB40-AA) JVA015U 2CA 22/8 0*4</t>
    <phoneticPr fontId="1" type="noConversion"/>
  </si>
  <si>
    <t>SG249007AGC100-U VA003GEC 1CA 22/8</t>
    <phoneticPr fontId="1" type="noConversion"/>
  </si>
  <si>
    <t>B11124V(EA30JVA001U 1CA 23/8</t>
    <phoneticPr fontId="1" type="noConversion"/>
  </si>
  <si>
    <t>B1019(C55/ERT34/R11) VA001U 1CA 24/8</t>
    <phoneticPr fontId="1" type="noConversion"/>
  </si>
  <si>
    <t>B2874 VB002 2T 22/8  kt</t>
    <phoneticPr fontId="1" type="noConversion"/>
  </si>
  <si>
    <t xml:space="preserve">B2324 VB011UA 1.5T 22/8 </t>
    <phoneticPr fontId="1" type="noConversion"/>
  </si>
  <si>
    <t>B09B VA087U 1.5T 23/8  4*10</t>
    <phoneticPr fontId="1" type="noConversion"/>
  </si>
  <si>
    <t>B09B VA086UUA 1T 22/8  3*7</t>
    <phoneticPr fontId="1" type="noConversion"/>
  </si>
  <si>
    <t>BCVC04B VA068U 1T 22/8  0*7</t>
    <phoneticPr fontId="1" type="noConversion"/>
  </si>
  <si>
    <t>SO249086AAB  VB004 sợi B 1T   21/8 KT</t>
    <phoneticPr fontId="1" type="noConversion"/>
  </si>
  <si>
    <t>ĐẠI TU 23/8</t>
    <phoneticPr fontId="1" type="noConversion"/>
  </si>
  <si>
    <t>B1052 JVA032U 2CA 21/8  0*4</t>
    <phoneticPr fontId="1" type="noConversion"/>
  </si>
  <si>
    <t>SO205078BAA VB001 2ca 21/8 KT</t>
    <phoneticPr fontId="1" type="noConversion"/>
  </si>
  <si>
    <t>B06A(FH18(BOC10) TJVA086UY 24/8</t>
    <phoneticPr fontId="1" type="noConversion"/>
  </si>
  <si>
    <t>B06A(FH18(BOC10) TJVA086UY 29T 24/8</t>
    <phoneticPr fontId="1" type="noConversion"/>
  </si>
  <si>
    <t xml:space="preserve">BTC2366 VB010 1T 22/8 </t>
    <phoneticPr fontId="1" type="noConversion"/>
  </si>
  <si>
    <t>SO249086AAB  VB004 sợi A  1T  21/8 KT</t>
    <phoneticPr fontId="1" type="noConversion"/>
  </si>
  <si>
    <t>SO15163ABPM20() JVB005 2CA 23/8</t>
    <phoneticPr fontId="1" type="noConversion"/>
  </si>
  <si>
    <t>B09B(C60/ETB40) VB014U 1.5T 22/8 6*10</t>
    <phoneticPr fontId="1" type="noConversion"/>
  </si>
  <si>
    <t>B1124V(C49/ETB30/EA21) VA001U 1CA 25/8</t>
    <phoneticPr fontId="1" type="noConversion"/>
  </si>
  <si>
    <t xml:space="preserve">B0423(OCR) VA002 1T 20/8  </t>
    <phoneticPr fontId="1" type="noConversion"/>
  </si>
  <si>
    <t>B05 VB062 20T 29/8</t>
    <phoneticPr fontId="1" type="noConversion"/>
  </si>
  <si>
    <t>B2621(OCN) VB006 1CA 22/8  KT</t>
    <phoneticPr fontId="1" type="noConversion"/>
  </si>
  <si>
    <t>B03(C60/ETB40) VB002 1T 22/8  KT</t>
    <phoneticPr fontId="1" type="noConversion"/>
  </si>
  <si>
    <t>BCVC2366 VB012 1CA 22/8  KT</t>
    <phoneticPr fontId="1" type="noConversion"/>
  </si>
  <si>
    <t>B0210  VB111 9T 21/8 KT</t>
    <phoneticPr fontId="1" type="noConversion"/>
  </si>
  <si>
    <t>SA239066CTC-SD  VB010 1T 22/8  KT</t>
    <phoneticPr fontId="1" type="noConversion"/>
  </si>
  <si>
    <t>B04B(AA) VA007U  2CA 22/8  2*4</t>
    <phoneticPr fontId="1" type="noConversion"/>
  </si>
  <si>
    <t>SO4126A(U) VA031U 1CA 23/8</t>
    <phoneticPr fontId="1" type="noConversion"/>
  </si>
  <si>
    <t>B1004 VA184UGEC 1CA 23/8</t>
    <phoneticPr fontId="1" type="noConversion"/>
  </si>
  <si>
    <t>BOC(90)C02 TJVB028UY 10T 22/8  KT</t>
    <phoneticPr fontId="1" type="noConversion"/>
  </si>
  <si>
    <t>BCVC07B VA079U 1.5T 25/8   0*17</t>
    <phoneticPr fontId="1" type="noConversion"/>
  </si>
  <si>
    <t xml:space="preserve">B1115 VA008U 1T 20/8 </t>
    <phoneticPr fontId="1" type="noConversion"/>
  </si>
  <si>
    <t>BTC0285 VB018 1T 23/8  5*8</t>
    <phoneticPr fontId="1" type="noConversion"/>
  </si>
  <si>
    <t>BOC(90)C02 TJVB028UY 5T 23/8  KT</t>
    <phoneticPr fontId="1" type="noConversion"/>
  </si>
  <si>
    <t>BTCC02 VB034 1T 23/8  KT</t>
    <phoneticPr fontId="1" type="noConversion"/>
  </si>
  <si>
    <t>B2656 VB042  3.5T 23/8  KT</t>
    <phoneticPr fontId="1" type="noConversion"/>
  </si>
  <si>
    <t>BUM051AER30-AA-U VA002U 1.5T 24/8  1*8</t>
    <phoneticPr fontId="1" type="noConversion"/>
  </si>
  <si>
    <t>B09B(GC100-S) VA001UGEC 1.5T 24/8  12*16</t>
    <phoneticPr fontId="1" type="noConversion"/>
  </si>
  <si>
    <t>B1124(C60/ETB40)  VA012U 1.5T 23/8  13*16</t>
    <phoneticPr fontId="1" type="noConversion"/>
  </si>
  <si>
    <t>SA215376B VB017 1CA 24/8</t>
    <phoneticPr fontId="1" type="noConversion"/>
  </si>
  <si>
    <t>SR215328BPM20-U JVA007U  1CA 26/8</t>
    <phoneticPr fontId="1" type="noConversion"/>
  </si>
  <si>
    <t>B2652 VA039U 6T 26/8</t>
    <phoneticPr fontId="1" type="noConversion"/>
  </si>
  <si>
    <t>B1004 VA182U 22T 28/8</t>
    <phoneticPr fontId="1" type="noConversion"/>
  </si>
  <si>
    <t xml:space="preserve">SA219061C  VB023 2CA 23/8  </t>
    <phoneticPr fontId="1" type="noConversion"/>
  </si>
  <si>
    <t>SO229159ABM VB015 1T 26/8  4*8</t>
    <phoneticPr fontId="1" type="noConversion"/>
  </si>
  <si>
    <t>BPM2366  VB004 2CA 27/8</t>
    <phoneticPr fontId="1" type="noConversion"/>
  </si>
  <si>
    <t>BCVC2347 VB032 2CA 29/8</t>
    <phoneticPr fontId="1" type="noConversion"/>
  </si>
  <si>
    <t>B2786 VB003 1CA 24/8 KT</t>
    <phoneticPr fontId="1" type="noConversion"/>
  </si>
  <si>
    <t>SO206427I VB020 2CA 24/8</t>
    <phoneticPr fontId="1" type="noConversion"/>
  </si>
  <si>
    <t>SGR92083B VB102 2CA 23/8  KT</t>
    <phoneticPr fontId="1" type="noConversion"/>
  </si>
  <si>
    <t>B1004 VA182U 22T 29/8</t>
    <phoneticPr fontId="1" type="noConversion"/>
  </si>
  <si>
    <t>BA37L(BOC-U) JVA003U  3T 26/8 14*23</t>
    <phoneticPr fontId="1" type="noConversion"/>
  </si>
  <si>
    <t>B1069 VA171UUA 1T 28/8</t>
    <phoneticPr fontId="1" type="noConversion"/>
  </si>
  <si>
    <t>BTC12B VA048U 1.5T 24/8  6*7</t>
    <phoneticPr fontId="1" type="noConversion"/>
  </si>
  <si>
    <t>B2881(AA) JVB002UA  3T 24/8  KT</t>
    <phoneticPr fontId="1" type="noConversion"/>
  </si>
  <si>
    <t>B2781 VB020 1CA 25/8</t>
    <phoneticPr fontId="1" type="noConversion"/>
  </si>
  <si>
    <t>B0213 JVB020U 1CA 25/8</t>
    <phoneticPr fontId="1" type="noConversion"/>
  </si>
  <si>
    <t>B1123 VA003 1CA 29/8</t>
    <phoneticPr fontId="1" type="noConversion"/>
  </si>
  <si>
    <t>B1069 VA167U 12T 30/8</t>
    <phoneticPr fontId="1" type="noConversion"/>
  </si>
  <si>
    <t>B2207(C60/ETB40)  VB005 1CA 28/8</t>
    <phoneticPr fontId="1" type="noConversion"/>
  </si>
  <si>
    <t>BOC(90)2561 TJVB014Y 5T 26/8 KT</t>
    <phoneticPr fontId="1" type="noConversion"/>
  </si>
  <si>
    <t>BFC08-130 VB028UA sợi X- XY 2T 26/8  KT</t>
    <phoneticPr fontId="1" type="noConversion"/>
  </si>
  <si>
    <t>B2F028 VB001 1CA  26/8 KT</t>
    <phoneticPr fontId="1" type="noConversion"/>
  </si>
  <si>
    <t>B2796 VB018GEC 2CA 25/8</t>
    <phoneticPr fontId="1" type="noConversion"/>
  </si>
  <si>
    <t>B1029 VA026U 1T 25/8</t>
    <phoneticPr fontId="1" type="noConversion"/>
  </si>
  <si>
    <t>SA200871AU VA060U 1.5T 26/8 15*16</t>
    <phoneticPr fontId="1" type="noConversion"/>
  </si>
  <si>
    <t>BVA004A  VA010U 1CA 27/8</t>
    <phoneticPr fontId="1" type="noConversion"/>
  </si>
  <si>
    <t xml:space="preserve">BTC04B VA005U 1T 25/8   </t>
    <phoneticPr fontId="1" type="noConversion"/>
  </si>
  <si>
    <t>BCVC11B VA123U 1T 25/8</t>
    <phoneticPr fontId="1" type="noConversion"/>
  </si>
  <si>
    <t xml:space="preserve">BM1029 JVA004U 1T 25/8  </t>
    <phoneticPr fontId="1" type="noConversion"/>
  </si>
  <si>
    <t>BCVC04B VA069U 1CA 25/8</t>
    <phoneticPr fontId="1" type="noConversion"/>
  </si>
  <si>
    <t>B2214 VB095 1CA 27/8</t>
    <phoneticPr fontId="1" type="noConversion"/>
  </si>
  <si>
    <t>BUM009AERC30-AA TJVA001U 28/8</t>
    <phoneticPr fontId="1" type="noConversion"/>
  </si>
  <si>
    <t>B06G(FH18)(BOC20-AA) VB009 26/8 kt</t>
    <phoneticPr fontId="1" type="noConversion"/>
  </si>
  <si>
    <t>SO06093D VB016 1CA 27/8 kt</t>
    <phoneticPr fontId="1" type="noConversion"/>
  </si>
  <si>
    <t>B0202 VB026 2A 28/8</t>
    <phoneticPr fontId="1" type="noConversion"/>
  </si>
  <si>
    <t>SA155427K(C60/ERT40) VB001 1ca 26/8</t>
    <phoneticPr fontId="1" type="noConversion"/>
  </si>
  <si>
    <t>SGR82938A(BOC10-U) VA005U 1CA 26/8</t>
    <phoneticPr fontId="1" type="noConversion"/>
  </si>
  <si>
    <t>B11B VA084U 1T  29/8</t>
    <phoneticPr fontId="1" type="noConversion"/>
  </si>
  <si>
    <t>B02B VA119U 2CA 5/9</t>
    <phoneticPr fontId="1" type="noConversion"/>
  </si>
  <si>
    <t xml:space="preserve">BM(50)2659 VA001U 3.5T 26/8 </t>
    <phoneticPr fontId="1" type="noConversion"/>
  </si>
  <si>
    <t>BSO4055BERT50/C25/R25-EY-U TJVA003U SỢI X-XY  1.5T 26/8 KT</t>
    <phoneticPr fontId="1" type="noConversion"/>
  </si>
  <si>
    <t>SGR4015D(BPM) JVB003 1CA 27/8 kt</t>
    <phoneticPr fontId="1" type="noConversion"/>
  </si>
  <si>
    <t>BOC2653 JVB001 1CA 28/8</t>
    <phoneticPr fontId="1" type="noConversion"/>
  </si>
  <si>
    <t>B06A(FH18)(BOC)  JVA036UY 1CA 31/8</t>
    <phoneticPr fontId="1" type="noConversion"/>
  </si>
  <si>
    <t>B2652 VA040UUA 9T 30/8</t>
    <phoneticPr fontId="1" type="noConversion"/>
  </si>
  <si>
    <t>B1098 VA001 2CA 31/8</t>
    <phoneticPr fontId="1" type="noConversion"/>
  </si>
  <si>
    <t>B0278 VB057 5T 31/8</t>
    <phoneticPr fontId="1" type="noConversion"/>
  </si>
  <si>
    <t>BCV04B VA070U 2CA 27/8   KT</t>
    <phoneticPr fontId="1" type="noConversion"/>
  </si>
  <si>
    <t>B06A(FH18)(T65/TE35-AA).  TJVA003U 2ca 29/8</t>
    <phoneticPr fontId="1" type="noConversion"/>
  </si>
  <si>
    <t>B14B(OCR) VA012 1CA 29/8</t>
    <phoneticPr fontId="1" type="noConversion"/>
  </si>
  <si>
    <t>B1069(OCN) VA042 1CA 30/8</t>
    <phoneticPr fontId="1" type="noConversion"/>
  </si>
  <si>
    <t>B0213(C60/ERT40)  VB001 1CA 29/8</t>
    <phoneticPr fontId="1" type="noConversion"/>
  </si>
  <si>
    <t>BOC2449  VB003 1CA 28/8 kt</t>
    <phoneticPr fontId="1" type="noConversion"/>
  </si>
  <si>
    <t>B0423(OCN) VA001 1.5T 28/8  kt</t>
    <phoneticPr fontId="1" type="noConversion"/>
  </si>
  <si>
    <t>BS2659 JVA024U 1CA 29/8</t>
    <phoneticPr fontId="1" type="noConversion"/>
  </si>
  <si>
    <t>SA192462AU VA008U 1CA 30/8</t>
    <phoneticPr fontId="1" type="noConversion"/>
  </si>
  <si>
    <t>B1067 VA107U 2CA  28/8  2*4</t>
    <phoneticPr fontId="1" type="noConversion"/>
  </si>
  <si>
    <t>B1124V(EA20) VA001U  4T  29/8  25*31</t>
    <phoneticPr fontId="1" type="noConversion"/>
  </si>
  <si>
    <t>BPM04B VA008U 1CA sợi A 28/8  0*4</t>
    <phoneticPr fontId="1" type="noConversion"/>
  </si>
  <si>
    <t>BOC0002 VA002U 1CA 29/8</t>
    <phoneticPr fontId="1" type="noConversion"/>
  </si>
  <si>
    <t>SA200871AU VA061U 1CA 29/8</t>
    <phoneticPr fontId="1" type="noConversion"/>
  </si>
  <si>
    <t>B2324 VB012GEC  2CA 30/8</t>
    <phoneticPr fontId="1" type="noConversion"/>
  </si>
  <si>
    <t>B2214 VB094 6T 31/8</t>
    <phoneticPr fontId="1" type="noConversion"/>
  </si>
  <si>
    <t>B2214 VB094 6T 4/9</t>
    <phoneticPr fontId="1" type="noConversion"/>
  </si>
  <si>
    <t>BCVC06B VA025U 15T    30/8</t>
    <phoneticPr fontId="1" type="noConversion"/>
  </si>
  <si>
    <t>B07B VA119UGEC 2CA 29/8  2*4</t>
    <phoneticPr fontId="1" type="noConversion"/>
  </si>
  <si>
    <t>BM12B VA047U 4T 30/8  29*31</t>
    <phoneticPr fontId="1" type="noConversion"/>
  </si>
  <si>
    <t>B09B(C60/ETB40) VA015U 2CA 29/8 3*4</t>
    <phoneticPr fontId="1" type="noConversion"/>
  </si>
  <si>
    <t>SGR92083B(CR30) VB006 1.5T 30/8 KT</t>
    <phoneticPr fontId="1" type="noConversion"/>
  </si>
  <si>
    <t>B0278 VB057 5T 30/8</t>
    <phoneticPr fontId="1" type="noConversion"/>
  </si>
  <si>
    <t>SA170299A(BM100M-AA-U) VA015U 1CA 31/8</t>
    <phoneticPr fontId="1" type="noConversion"/>
  </si>
  <si>
    <t xml:space="preserve">BPM(20)2214 TJVB011 2.5T 28/8  </t>
    <phoneticPr fontId="1" type="noConversion"/>
  </si>
  <si>
    <t>B06G(FH18)(BOC20-AA) VB009 26T 8/9</t>
    <phoneticPr fontId="1" type="noConversion"/>
  </si>
  <si>
    <t>B04B(AA)  VA089U 2CA 31/8</t>
    <phoneticPr fontId="1" type="noConversion"/>
  </si>
  <si>
    <t>B8224 VA026U 1.5T 29/8  kt</t>
    <phoneticPr fontId="1" type="noConversion"/>
  </si>
  <si>
    <t>B1069   TJVA174U 2CA 30/8</t>
    <phoneticPr fontId="1" type="noConversion"/>
  </si>
  <si>
    <t>B09B(OCN) VA001 3T 31/8  10*20</t>
    <phoneticPr fontId="1" type="noConversion"/>
  </si>
  <si>
    <t>SO41269A(BPM20-U) VA019U 2CA 4/9 0*4</t>
    <phoneticPr fontId="1" type="noConversion"/>
  </si>
  <si>
    <t>SA249257CBOC-U VA001U 1CA 30/8</t>
    <phoneticPr fontId="1" type="noConversion"/>
  </si>
  <si>
    <t>BM11B VA002  1T 30/8  5*7</t>
    <phoneticPr fontId="1" type="noConversion"/>
  </si>
  <si>
    <t>BCVC11B VA024U 1T 6/9</t>
    <phoneticPr fontId="1" type="noConversion"/>
  </si>
  <si>
    <t>B09B(OCN) VA001 3T 30/8  11*16.5</t>
    <phoneticPr fontId="1" type="noConversion"/>
  </si>
  <si>
    <t xml:space="preserve">SB239264AU VA005GEC 1T 29/8  </t>
    <phoneticPr fontId="1" type="noConversion"/>
  </si>
  <si>
    <t>B1069(OCN) VA043U CHẠY TRC 11 LB  30/8</t>
    <phoneticPr fontId="1" type="noConversion"/>
  </si>
  <si>
    <t>B0208(C60/TB40) VB015 9T 29/8</t>
    <phoneticPr fontId="1" type="noConversion"/>
  </si>
  <si>
    <t>SGR92083B(BPM)  JVB008 2CA 30/8  1*3</t>
    <phoneticPr fontId="1" type="noConversion"/>
  </si>
  <si>
    <t xml:space="preserve">B0281 VB059 1T 30/8 </t>
    <phoneticPr fontId="1" type="noConversion"/>
  </si>
  <si>
    <t>B0278 VB056 18L 7/9</t>
    <phoneticPr fontId="1" type="noConversion"/>
  </si>
  <si>
    <t>B0278 VB056 24L 8/9</t>
    <phoneticPr fontId="1" type="noConversion"/>
  </si>
  <si>
    <t>B0285 VA019 2CA 30/8</t>
    <phoneticPr fontId="1" type="noConversion"/>
  </si>
  <si>
    <t>BSA3871ABPM20 TVB017 2CA 4/9</t>
    <phoneticPr fontId="1" type="noConversion"/>
  </si>
  <si>
    <t>BA37L(C60/ERT40-AA-U) JVB003U  1CA 5/9</t>
    <phoneticPr fontId="1" type="noConversion"/>
  </si>
  <si>
    <t xml:space="preserve">B1067-OE VA108U </t>
    <phoneticPr fontId="1" type="noConversion"/>
  </si>
  <si>
    <t>9/6-9/10</t>
    <phoneticPr fontId="1" type="noConversion"/>
  </si>
  <si>
    <t>B2214 VB094 6t 31/8  kt</t>
    <phoneticPr fontId="1" type="noConversion"/>
  </si>
  <si>
    <t>BUM006AER30-AA VB022 31T 6/9</t>
    <phoneticPr fontId="1" type="noConversion"/>
  </si>
  <si>
    <t>B0281  VB060 1CA 8/9</t>
    <phoneticPr fontId="1" type="noConversion"/>
  </si>
  <si>
    <t>B06G(FH18)(BOC20-AA) VB009 26T 6/9</t>
  </si>
  <si>
    <t>B11B VA085U  2CA 31/8</t>
  </si>
  <si>
    <t>BOC1067 VA006U 1CA 31/8</t>
  </si>
  <si>
    <t>B1034 VA023 1CA  6/9</t>
  </si>
  <si>
    <t xml:space="preserve">B04B VA086 4T 30/8 </t>
  </si>
  <si>
    <t>B07B VA117U 19T 7/9</t>
  </si>
  <si>
    <t>SGR92083B TJVB101  8T 12/9</t>
    <phoneticPr fontId="1" type="noConversion"/>
  </si>
  <si>
    <t>VB072UA  BC02 1.5T 5/9  11*16</t>
    <phoneticPr fontId="1" type="noConversion"/>
  </si>
  <si>
    <t>BC03(C60/ERT40) JVB001 1CA 31/8 kt</t>
    <phoneticPr fontId="1" type="noConversion"/>
  </si>
  <si>
    <t>SO05106I JVB012 1.5T 31/8</t>
    <phoneticPr fontId="1" type="noConversion"/>
  </si>
  <si>
    <t>B0209 VB027 1.5T 31/8  kt</t>
    <phoneticPr fontId="1" type="noConversion"/>
  </si>
  <si>
    <t>B0210P(EA30-AA)  JVB001 1CA 31/8 kt</t>
    <phoneticPr fontId="1" type="noConversion"/>
  </si>
  <si>
    <t>BA37L(CR20-AA-U)  3JVA006U  2CA 5/9 1*4</t>
    <phoneticPr fontId="1" type="noConversion"/>
  </si>
  <si>
    <t>BCVC108 VA012 2CA 6/9</t>
    <phoneticPr fontId="1" type="noConversion"/>
  </si>
  <si>
    <t>B02B VA120 2CA 4/9</t>
    <phoneticPr fontId="1" type="noConversion"/>
  </si>
  <si>
    <t>BCVC2347 VB033 2CA 31/8  kt</t>
    <phoneticPr fontId="1" type="noConversion"/>
  </si>
  <si>
    <t>BCVC2347 VB034 1CA 10/9</t>
    <phoneticPr fontId="1" type="noConversion"/>
  </si>
  <si>
    <t>SGR92083B TJVB101  8T 7/9</t>
    <phoneticPr fontId="1" type="noConversion"/>
  </si>
  <si>
    <t>B0278 VB056 21L 6/9</t>
    <phoneticPr fontId="1" type="noConversion"/>
  </si>
  <si>
    <t>B0278 VB056  15L  5/9</t>
    <phoneticPr fontId="1" type="noConversion"/>
  </si>
  <si>
    <t>BOC(90)1005 TJVA004U 1CA  8/9</t>
    <phoneticPr fontId="1" type="noConversion"/>
  </si>
  <si>
    <t>B09B VA088U  8T 6/9</t>
    <phoneticPr fontId="1" type="noConversion"/>
  </si>
  <si>
    <t>B06A(FH18)(BOC10) TJVA087UY 10T 9/9</t>
    <phoneticPr fontId="1" type="noConversion"/>
  </si>
  <si>
    <t xml:space="preserve">B1017  VA019U 1T 30/8   </t>
    <phoneticPr fontId="1" type="noConversion"/>
  </si>
  <si>
    <t>B07B VA117U 6/9</t>
    <phoneticPr fontId="1" type="noConversion"/>
  </si>
  <si>
    <t>B07B VA117U  4/9</t>
    <phoneticPr fontId="1" type="noConversion"/>
  </si>
  <si>
    <t>BOC07B VA004 1CA 6/9</t>
    <phoneticPr fontId="1" type="noConversion"/>
  </si>
  <si>
    <t>BNC01(TC) VB001 1CA 5/9  kt</t>
    <phoneticPr fontId="1" type="noConversion"/>
  </si>
  <si>
    <t>BNC01(CVC) VB017 LÊN LẠI HẾT CÚI  kt 4/9</t>
    <phoneticPr fontId="1" type="noConversion"/>
  </si>
  <si>
    <t xml:space="preserve"> B3F004  JVB001 1ca 5/9  kt</t>
    <phoneticPr fontId="1" type="noConversion"/>
  </si>
  <si>
    <t xml:space="preserve">BPM(20)0475  TVA03U 3T 6/9  </t>
    <phoneticPr fontId="1" type="noConversion"/>
  </si>
  <si>
    <t>SGR82938A(BOC10-U) JVA006 1CA 7/9 3*4</t>
    <phoneticPr fontId="1" type="noConversion"/>
  </si>
  <si>
    <t>SO41269A(U)  VA032U 1.5T 7/9  13*16</t>
    <phoneticPr fontId="1" type="noConversion"/>
  </si>
  <si>
    <t>B0278 VB056 26L 7/9</t>
    <phoneticPr fontId="1" type="noConversion"/>
  </si>
  <si>
    <t>B06A(FH18)(BOC10) TJVA087UY 6T 7/9</t>
    <phoneticPr fontId="1" type="noConversion"/>
  </si>
  <si>
    <t>B1069 VA173US  1.5T 12/9</t>
    <phoneticPr fontId="1" type="noConversion"/>
  </si>
  <si>
    <t>B07B VA117U   7/9</t>
    <phoneticPr fontId="1" type="noConversion"/>
  </si>
  <si>
    <t>B2872 VB003 1.5T 8/9  3*8</t>
    <phoneticPr fontId="1" type="noConversion"/>
  </si>
  <si>
    <t>BUM051AER30-AA-U VA003 2CA 6/9  3*4</t>
    <phoneticPr fontId="1" type="noConversion"/>
  </si>
  <si>
    <t>BPM1069 VA086 2CA 6/9</t>
    <phoneticPr fontId="1" type="noConversion"/>
  </si>
  <si>
    <t>BCVC1123 VA001 1CA 5/9</t>
    <phoneticPr fontId="1" type="noConversion"/>
  </si>
  <si>
    <t>BTC0208  VB001  2CA 6/9 kt</t>
    <phoneticPr fontId="1" type="noConversion"/>
  </si>
  <si>
    <t>B1NFC03(RE80/C20-AA)  VB001 1CA 8/9</t>
    <phoneticPr fontId="1" type="noConversion"/>
  </si>
  <si>
    <t>B0604 VB003 2T 20/8 14*16</t>
    <phoneticPr fontId="1" type="noConversion"/>
  </si>
  <si>
    <t>BCVC1052 VA002U 1T 9/9</t>
    <phoneticPr fontId="1" type="noConversion"/>
  </si>
  <si>
    <t>SO41269A(U) JVA033U 1CA 6/9</t>
    <phoneticPr fontId="1" type="noConversion"/>
  </si>
  <si>
    <t>B07B VA117U 5/9</t>
    <phoneticPr fontId="1" type="noConversion"/>
  </si>
  <si>
    <t>BCVC106 VA009 1CA 8/9</t>
    <phoneticPr fontId="1" type="noConversion"/>
  </si>
  <si>
    <t>B07B VA118U  12/9</t>
    <phoneticPr fontId="1" type="noConversion"/>
  </si>
  <si>
    <t>SA215376B VB018  1CA 8/9</t>
    <phoneticPr fontId="1" type="noConversion"/>
  </si>
  <si>
    <t>BCVC0285 VB013 1T 8/9  6*8</t>
    <phoneticPr fontId="1" type="noConversion"/>
  </si>
  <si>
    <t xml:space="preserve">B2385  VB021 1.5T 8/9 </t>
    <phoneticPr fontId="1" type="noConversion"/>
  </si>
  <si>
    <t>SO06093D(BPM20) JVB001 4T 7/9  kt</t>
    <phoneticPr fontId="1" type="noConversion"/>
  </si>
  <si>
    <t>B0285(C85/TE10/RE5) VB001 1CA 6/9</t>
    <phoneticPr fontId="1" type="noConversion"/>
  </si>
  <si>
    <t>SO30723C(XY) VB010 SỢI X - XY 1.5T 6/9 kt</t>
    <phoneticPr fontId="1" type="noConversion"/>
  </si>
  <si>
    <t>BFC08-130 VB029UA XY 2CA SỢI X - XY  9/9</t>
    <phoneticPr fontId="1" type="noConversion"/>
  </si>
  <si>
    <t>SA219061C VB024 1T 6/9  kt</t>
    <phoneticPr fontId="1" type="noConversion"/>
  </si>
  <si>
    <t>BCVC0208 VB037 LÊN LẠI 10T 6/9 kt</t>
    <phoneticPr fontId="1" type="noConversion"/>
  </si>
  <si>
    <t>B1069  3VA175UUA  1.5T  8/9 6*10</t>
    <phoneticPr fontId="1" type="noConversion"/>
  </si>
  <si>
    <t>B1019 VA116U 2CA  7/9  1*4</t>
    <phoneticPr fontId="1" type="noConversion"/>
  </si>
  <si>
    <t>BVA004A VA011 1CA 8/9</t>
    <phoneticPr fontId="1" type="noConversion"/>
  </si>
  <si>
    <t>B1004 VA185U 1.5T 12/9</t>
    <phoneticPr fontId="1" type="noConversion"/>
  </si>
  <si>
    <t>B0475  VA015 1CA 7/9  kt</t>
    <phoneticPr fontId="1" type="noConversion"/>
  </si>
  <si>
    <t>SA209217A JVB009 1T 8/9  4*8</t>
    <phoneticPr fontId="1" type="noConversion"/>
  </si>
  <si>
    <t xml:space="preserve">BM0208  VB023 3T 7/9  </t>
    <phoneticPr fontId="1" type="noConversion"/>
  </si>
  <si>
    <t>SO202477E VB015 1CA 10/9</t>
    <phoneticPr fontId="1" type="noConversion"/>
  </si>
  <si>
    <t>BOC0423(OCR) VA003 1CA 9/9</t>
    <phoneticPr fontId="1" type="noConversion"/>
  </si>
  <si>
    <t>B1029  VA027 1CA 10/9</t>
    <phoneticPr fontId="1" type="noConversion"/>
  </si>
  <si>
    <t>BM(70M)1068(BPM)  VA001U 1CA 9/9</t>
    <phoneticPr fontId="1" type="noConversion"/>
  </si>
  <si>
    <t>B07B VA118U  9/9</t>
    <phoneticPr fontId="1" type="noConversion"/>
  </si>
  <si>
    <t>BOC0285 VB004 1CA 9/9</t>
    <phoneticPr fontId="1" type="noConversion"/>
  </si>
  <si>
    <t xml:space="preserve">B1069(OCN) VA043U 1.5T 8/9  </t>
    <phoneticPr fontId="1" type="noConversion"/>
  </si>
  <si>
    <t>BPM2299KC  VB001 1T 9/9</t>
  </si>
  <si>
    <t>SO239188A VB003 1CA  8/9 KT</t>
  </si>
  <si>
    <t>B2656 VB044 1CA 9/9</t>
  </si>
  <si>
    <t>SA249267BOC VB001H  KT 8/9</t>
  </si>
  <si>
    <t xml:space="preserve">SA240274ACVC VB003 1.5T 7/9  </t>
  </si>
  <si>
    <t>BC03  VB058  9 búp  9/9</t>
  </si>
  <si>
    <t xml:space="preserve">B0210 VB113US 1T  8/9 </t>
  </si>
  <si>
    <t>B0210 VB112UA 5T 8/9</t>
  </si>
  <si>
    <t xml:space="preserve">B2367 VB028GEC 3T 8/9  </t>
  </si>
  <si>
    <t>BC03  VB058  11 búp  9/9  kt</t>
    <phoneticPr fontId="1" type="noConversion"/>
  </si>
  <si>
    <t>BC03  VB058  11 búp  9/9 k</t>
    <phoneticPr fontId="1" type="noConversion"/>
  </si>
  <si>
    <t>BTM(60)C03(AA) JVB001 2CA 9/9  kt</t>
    <phoneticPr fontId="1" type="noConversion"/>
  </si>
  <si>
    <t>B2879  VB003  1ca 9/9 kt</t>
    <phoneticPr fontId="1" type="noConversion"/>
  </si>
  <si>
    <t>BCR0208 VB003 1T 8/9  T</t>
    <phoneticPr fontId="1" type="noConversion"/>
  </si>
  <si>
    <t xml:space="preserve">SA192462AU JVA009U 2.5T 9/9 </t>
    <phoneticPr fontId="1" type="noConversion"/>
  </si>
  <si>
    <t xml:space="preserve">BTE(LF)1004 3JVA003U 1.5T 8/9  </t>
    <phoneticPr fontId="1" type="noConversion"/>
  </si>
  <si>
    <t xml:space="preserve">BA37L(U) JVA033U 3T  7/9 </t>
    <phoneticPr fontId="1" type="noConversion"/>
  </si>
  <si>
    <t>BPM1069 VA087U 2CA 10/9  0*4</t>
    <phoneticPr fontId="1" type="noConversion"/>
  </si>
  <si>
    <t>BCVC0284 VA020 1T  8/9  kt</t>
    <phoneticPr fontId="1" type="noConversion"/>
  </si>
  <si>
    <t>B2872  VB004 1CA 9/9 KT</t>
    <phoneticPr fontId="1" type="noConversion"/>
  </si>
  <si>
    <t>đóng</t>
    <phoneticPr fontId="1" type="noConversion"/>
  </si>
  <si>
    <t>B1020 VA051U 2CA 10/9</t>
    <phoneticPr fontId="1" type="noConversion"/>
  </si>
  <si>
    <t>BSB4047BERT50/C25/R25ETERAAU TJVA001U 1T 13/9</t>
    <phoneticPr fontId="1" type="noConversion"/>
  </si>
  <si>
    <t>BM1124(AA) JVA001 1CA 11/9</t>
    <phoneticPr fontId="1" type="noConversion"/>
  </si>
  <si>
    <t>BM(100M)1019  VA007U 5T 8/9  kt</t>
    <phoneticPr fontId="1" type="noConversion"/>
  </si>
  <si>
    <t xml:space="preserve">SO241260ACVC  VB01 1CA 9/9 </t>
    <phoneticPr fontId="1" type="noConversion"/>
  </si>
  <si>
    <t xml:space="preserve">SA239181BBM VB003 2T 9/9 </t>
    <phoneticPr fontId="1" type="noConversion"/>
  </si>
  <si>
    <t>B0278 VB056-B BÙ  8 BÚP 11/9  4*8</t>
    <phoneticPr fontId="1" type="noConversion"/>
  </si>
  <si>
    <t>B0278 VB056-B BÙ  8 BÚP 12/9 2*8</t>
    <phoneticPr fontId="1" type="noConversion"/>
  </si>
  <si>
    <t>BAB073 VB027 SỢI B 3T 10/9 kt</t>
    <phoneticPr fontId="1" type="noConversion"/>
  </si>
  <si>
    <t>SA249204BOCR VB001 2CA 10/9 kt</t>
    <phoneticPr fontId="1" type="noConversion"/>
  </si>
  <si>
    <t>B1124V(EA20)  VA002U 3.5T 11/9  19*23</t>
    <phoneticPr fontId="1" type="noConversion"/>
  </si>
  <si>
    <t>B1114 VA010 1.5T 11/9  4*10</t>
    <phoneticPr fontId="1" type="noConversion"/>
  </si>
  <si>
    <t>SGR82938A(BOC10-U) JVA007 1T 10/9  5*7</t>
    <phoneticPr fontId="1" type="noConversion"/>
  </si>
  <si>
    <t>BM12B JVA048U 2CA 11/9  0*4</t>
    <phoneticPr fontId="1" type="noConversion"/>
  </si>
  <si>
    <t>BCVC1123 VA002U 1CA 12/9</t>
    <phoneticPr fontId="1" type="noConversion"/>
  </si>
  <si>
    <t xml:space="preserve">B1067-OE  3VA109U </t>
    <phoneticPr fontId="1" type="noConversion"/>
  </si>
  <si>
    <t>BM2452 VB002 1CA 11/9</t>
    <phoneticPr fontId="1" type="noConversion"/>
  </si>
  <si>
    <t>BCR2781 VB006 1.5T 17/9</t>
    <phoneticPr fontId="1" type="noConversion"/>
  </si>
  <si>
    <t>BPM(20)0475  TVA04U 2T 10/9 KT</t>
    <phoneticPr fontId="1" type="noConversion"/>
  </si>
  <si>
    <t xml:space="preserve">B0208 VB055 1CA 10/9  </t>
    <phoneticPr fontId="1" type="noConversion"/>
  </si>
  <si>
    <t xml:space="preserve">SA249274BBPM VB001 2CA 10/9  </t>
    <phoneticPr fontId="1" type="noConversion"/>
  </si>
  <si>
    <t>BC02 VB075UA 2CA 10/9 kt</t>
    <phoneticPr fontId="1" type="noConversion"/>
  </si>
  <si>
    <t>B0475 VA016U 1CA 11/9 kt</t>
    <phoneticPr fontId="1" type="noConversion"/>
  </si>
  <si>
    <t xml:space="preserve">B06A(FH18)(BOC) TJVA037UY 2T 12/9  </t>
    <phoneticPr fontId="1" type="noConversion"/>
  </si>
  <si>
    <t xml:space="preserve">BPL(20)1068  JVA009U 1.5T 10/9  </t>
    <phoneticPr fontId="1" type="noConversion"/>
  </si>
  <si>
    <t>B0604 VB004 2CA  17/9</t>
    <phoneticPr fontId="1" type="noConversion"/>
  </si>
  <si>
    <t>BC02 VB070   15b  14/9</t>
    <phoneticPr fontId="1" type="noConversion"/>
  </si>
  <si>
    <t>BC02 VB070 23T  12b 13/9</t>
    <phoneticPr fontId="1" type="noConversion"/>
  </si>
  <si>
    <t>BC02 VB070 18b  15/9</t>
    <phoneticPr fontId="1" type="noConversion"/>
  </si>
  <si>
    <t>B8224 JVA027U  1CA 11/9  kt</t>
    <phoneticPr fontId="1" type="noConversion"/>
  </si>
  <si>
    <t xml:space="preserve">B1124P(EA25) VA003U 1T 10/9 </t>
    <phoneticPr fontId="1" type="noConversion"/>
  </si>
  <si>
    <t>B07B VA120U 14/9</t>
    <phoneticPr fontId="1" type="noConversion"/>
  </si>
  <si>
    <t xml:space="preserve">BMC03 JVB004 1CA 11/9 </t>
    <phoneticPr fontId="1" type="noConversion"/>
  </si>
  <si>
    <t>SGR41667A(CVC20-XY)  VB038 SỢI X 2T 12/9 6*7</t>
    <phoneticPr fontId="1" type="noConversion"/>
  </si>
  <si>
    <t>BTC0201  VB021 3.5T 12/9  kt</t>
    <phoneticPr fontId="1" type="noConversion"/>
  </si>
  <si>
    <t>SGR92083B(CR30) VB007  1T  12/9</t>
    <phoneticPr fontId="1" type="noConversion"/>
  </si>
  <si>
    <t>B2347(C60/ETB40) VB016 1ca  12/9  kt</t>
    <phoneticPr fontId="1" type="noConversion"/>
  </si>
  <si>
    <t xml:space="preserve">BAB073 VB027 SỢI A 3T 11/9  </t>
    <phoneticPr fontId="1" type="noConversion"/>
  </si>
  <si>
    <t xml:space="preserve">BCVC1067 VA021U 1.5T 12/9  </t>
    <phoneticPr fontId="1" type="noConversion"/>
  </si>
  <si>
    <t>B1068 VA123U 1T 14/9  4*7</t>
    <phoneticPr fontId="1" type="noConversion"/>
  </si>
  <si>
    <t xml:space="preserve">B1068 VA124U 2CA  11/9  </t>
    <phoneticPr fontId="1" type="noConversion"/>
  </si>
  <si>
    <t>BCVC04B VA071U 2CA 11/9  kt</t>
    <phoneticPr fontId="1" type="noConversion"/>
  </si>
  <si>
    <t>B1019 VA117U 1T 14/9  12/9</t>
    <phoneticPr fontId="1" type="noConversion"/>
  </si>
  <si>
    <t>BA37L(U)  TJVA134U 5T 12/9 kt</t>
    <phoneticPr fontId="1" type="noConversion"/>
  </si>
  <si>
    <t>SGR72518A VA017U 1CA 13/9</t>
    <phoneticPr fontId="1" type="noConversion"/>
  </si>
  <si>
    <t>B07B  VA120U 14/9</t>
    <phoneticPr fontId="1" type="noConversion"/>
  </si>
  <si>
    <t>BUM009AERC30-AA TJVA002U 18T 5/10</t>
    <phoneticPr fontId="1" type="noConversion"/>
  </si>
  <si>
    <t>SA221377ABPM-U JVA001 1CA 13/9</t>
    <phoneticPr fontId="1" type="noConversion"/>
  </si>
  <si>
    <t>BM2659 VA005 1CA 14/9</t>
    <phoneticPr fontId="1" type="noConversion"/>
  </si>
  <si>
    <t>B12B VA137U 2CA 14/9</t>
    <phoneticPr fontId="1" type="noConversion"/>
  </si>
  <si>
    <t>SA200871ACVC-U VA036U 4.5T  17/9</t>
    <phoneticPr fontId="1" type="noConversion"/>
  </si>
  <si>
    <t>B07B  VA120U 18/9</t>
    <phoneticPr fontId="1" type="noConversion"/>
  </si>
  <si>
    <t xml:space="preserve">BM0214 VB002  1CA  13/9 </t>
    <phoneticPr fontId="1" type="noConversion"/>
  </si>
  <si>
    <t>SO241260A VB001 2CA 12/9 3*4</t>
    <phoneticPr fontId="1" type="noConversion"/>
  </si>
  <si>
    <t>B2366(OCN) VB003 2CA 14/9</t>
    <phoneticPr fontId="1" type="noConversion"/>
  </si>
  <si>
    <t>BC02 VB070  15b 15/9</t>
    <phoneticPr fontId="1" type="noConversion"/>
  </si>
  <si>
    <t>BC02 VB070  9b 14/9</t>
    <phoneticPr fontId="1" type="noConversion"/>
  </si>
  <si>
    <t>BC02 VB070 9b 14/9</t>
    <phoneticPr fontId="1" type="noConversion"/>
  </si>
  <si>
    <t>BC02 VB070  15b 15/9</t>
    <phoneticPr fontId="1" type="noConversion"/>
  </si>
  <si>
    <t>BC02 VB070 22b  17/9</t>
    <phoneticPr fontId="1" type="noConversion"/>
  </si>
  <si>
    <t>B05 VB064 15T 3/10</t>
    <phoneticPr fontId="1" type="noConversion"/>
  </si>
  <si>
    <t>B0281(GC100)  VB001GEC 2CA 18/9</t>
    <phoneticPr fontId="1" type="noConversion"/>
  </si>
  <si>
    <t xml:space="preserve">BC02 VB070 12b 15/9  </t>
    <phoneticPr fontId="1" type="noConversion"/>
  </si>
  <si>
    <t>BPM(20)2214   TJVB012 5T 13/9 kt</t>
    <phoneticPr fontId="1" type="noConversion"/>
  </si>
  <si>
    <t>SA219061C VB025 2CA 13/9  2*3</t>
    <phoneticPr fontId="1" type="noConversion"/>
  </si>
  <si>
    <t>BM(100M)2782 VB003  1CA   13/9 kt</t>
    <phoneticPr fontId="1" type="noConversion"/>
  </si>
  <si>
    <t>BC02 VB070 12b  13/9 kt</t>
    <phoneticPr fontId="1" type="noConversion"/>
  </si>
  <si>
    <t>BCVC1004 VA021U 2T 15/9  11*16</t>
    <phoneticPr fontId="1" type="noConversion"/>
  </si>
  <si>
    <t>SO41269A(U) VA034U 1CA 13/9</t>
    <phoneticPr fontId="1" type="noConversion"/>
  </si>
  <si>
    <t>BOC0459 VA003 1CA 13/9 kt</t>
    <phoneticPr fontId="1" type="noConversion"/>
  </si>
  <si>
    <t>SA200871A(U) VA062U 5.5T 15/9</t>
    <phoneticPr fontId="1" type="noConversion"/>
  </si>
  <si>
    <t>SGR41667A(CVC20-XY)  VB038 SỢI X BÙ</t>
    <phoneticPr fontId="1" type="noConversion"/>
  </si>
  <si>
    <t xml:space="preserve"> SR215328AU JVA008U 1CA 14/9 kt</t>
    <phoneticPr fontId="1" type="noConversion"/>
  </si>
  <si>
    <t>B2659 VA02 1CA 13/9</t>
    <phoneticPr fontId="1" type="noConversion"/>
  </si>
  <si>
    <t>B1019(OCN) VA011U 1CA 14/9 0*4 kt</t>
    <phoneticPr fontId="1" type="noConversion"/>
  </si>
  <si>
    <t xml:space="preserve">SO17056F  VB012 1T 15/9  </t>
    <phoneticPr fontId="1" type="noConversion"/>
  </si>
  <si>
    <t>B2798 VB011UA  2CA 14/9 0*4</t>
    <phoneticPr fontId="1" type="noConversion"/>
  </si>
  <si>
    <t>B2214 VB096 2CA 16/9</t>
    <phoneticPr fontId="1" type="noConversion"/>
  </si>
  <si>
    <t>BCR2781 VB006 1.5T 16/9  4*8</t>
    <phoneticPr fontId="1" type="noConversion"/>
  </si>
  <si>
    <t>BA37M-RM  VB004 1.5T 18/9 3*8</t>
    <phoneticPr fontId="1" type="noConversion"/>
  </si>
  <si>
    <t>BOC(90)2561  TJVB015 1T 13/9  kt</t>
    <phoneticPr fontId="1" type="noConversion"/>
  </si>
  <si>
    <t>SGR92083B VB103 4T 14/9</t>
    <phoneticPr fontId="1" type="noConversion"/>
  </si>
  <si>
    <t>`</t>
    <phoneticPr fontId="1" type="noConversion"/>
  </si>
  <si>
    <t xml:space="preserve">B05 VB064 </t>
    <phoneticPr fontId="1" type="noConversion"/>
  </si>
  <si>
    <t>SGR92083B VB103 5T 14/9</t>
    <phoneticPr fontId="1" type="noConversion"/>
  </si>
  <si>
    <t>BSY5514B  VB005 1CA 16/9</t>
    <phoneticPr fontId="1" type="noConversion"/>
  </si>
  <si>
    <t>B09B VA089UA 1CA 18/9</t>
    <phoneticPr fontId="1" type="noConversion"/>
  </si>
  <si>
    <t>BA37L(U) JVA135U 10T 19/9</t>
    <phoneticPr fontId="1" type="noConversion"/>
  </si>
  <si>
    <t>BOC1005-OE VA004</t>
    <phoneticPr fontId="1" type="noConversion"/>
  </si>
  <si>
    <t>20/9.</t>
    <phoneticPr fontId="1" type="noConversion"/>
  </si>
  <si>
    <t xml:space="preserve">SA200871AC60/ERT40-U-OE  VA013U </t>
    <phoneticPr fontId="1" type="noConversion"/>
  </si>
  <si>
    <t>20/9-3/10</t>
    <phoneticPr fontId="1" type="noConversion"/>
  </si>
  <si>
    <t>B0213  VB021 1.5T 16/9 7*8</t>
  </si>
  <si>
    <t>B0210(OCN-H) VB003H 1CA 15/9 KT</t>
  </si>
  <si>
    <t>B0208 VB056UA 1CA  15/9</t>
  </si>
  <si>
    <t>BC04 VB052</t>
  </si>
  <si>
    <t xml:space="preserve">B0281 VB061 2CA  15/9 </t>
  </si>
  <si>
    <t>SGR91885D  VB010 2CA 16/9  1*3</t>
    <phoneticPr fontId="1" type="noConversion"/>
  </si>
  <si>
    <t>BNC01(BOC) VB003 1CA 15/9</t>
    <phoneticPr fontId="1" type="noConversion"/>
  </si>
  <si>
    <t>BCVC(40ET)0209 VB004  1T 19/9 kt</t>
    <phoneticPr fontId="1" type="noConversion"/>
  </si>
  <si>
    <t>SGR92083B(BPM20)  TJVB016 2T 16/9 kt</t>
    <phoneticPr fontId="1" type="noConversion"/>
  </si>
  <si>
    <t>BM1029 VA005 1T 15/9</t>
    <phoneticPr fontId="1" type="noConversion"/>
  </si>
  <si>
    <t>SGR41667A(CVC20-XY)  VB038 XY 5T 16/9 kt</t>
    <phoneticPr fontId="1" type="noConversion"/>
  </si>
  <si>
    <t>SGR41667A(CVC20-XY)  VB038 XY 5T 16/9</t>
    <phoneticPr fontId="1" type="noConversion"/>
  </si>
  <si>
    <t>B2366 VB054UA 2CA 18/9 0*4</t>
    <phoneticPr fontId="1" type="noConversion"/>
  </si>
  <si>
    <t>B04B VA088 18/9</t>
    <phoneticPr fontId="1" type="noConversion"/>
  </si>
  <si>
    <t>SA249074A VB001 1CA 17/9 0*4</t>
    <phoneticPr fontId="1" type="noConversion"/>
  </si>
  <si>
    <t>B0281(OCN60/ETB40) VB001 1ca 17/9 kt</t>
    <phoneticPr fontId="1" type="noConversion"/>
  </si>
  <si>
    <t xml:space="preserve">BTCC02  VB035 3T 16/9  </t>
    <phoneticPr fontId="1" type="noConversion"/>
  </si>
  <si>
    <t>BA37L(U) JVA135U 18b  17/9 17*18</t>
    <phoneticPr fontId="1" type="noConversion"/>
  </si>
  <si>
    <t>BSV4050BERT50/C25/R25-EY-U VA003U SỢI X-XY  2CA 18/9</t>
    <phoneticPr fontId="1" type="noConversion"/>
  </si>
  <si>
    <t>B1029P(EA30) VA014 1T 16/9 kt</t>
    <phoneticPr fontId="1" type="noConversion"/>
  </si>
  <si>
    <t>BCVC1004 VA022U 1CA 16/9</t>
    <phoneticPr fontId="1" type="noConversion"/>
  </si>
  <si>
    <t>SA160467A(CVC-U) JVA003U 1CA 16/9</t>
    <phoneticPr fontId="1" type="noConversion"/>
  </si>
  <si>
    <t>B1069 VA176U 8T 21/9</t>
    <phoneticPr fontId="1" type="noConversion"/>
  </si>
  <si>
    <t>B0216  VB010 2CA  16/9 kt</t>
    <phoneticPr fontId="1" type="noConversion"/>
  </si>
  <si>
    <t>B2781  VB021 1CA  16/9 kt</t>
    <phoneticPr fontId="1" type="noConversion"/>
  </si>
  <si>
    <t>SGR92083B VB105 1CA 14/9 0*3</t>
    <phoneticPr fontId="1" type="noConversion"/>
  </si>
  <si>
    <t>SO206427I VB021 2T  18/9  13*16</t>
    <phoneticPr fontId="1" type="noConversion"/>
  </si>
  <si>
    <t>B2829 VB003 1CA 19/9 kt</t>
    <phoneticPr fontId="1" type="noConversion"/>
  </si>
  <si>
    <t>B2656 VB043 2T 17/9 kt</t>
    <phoneticPr fontId="1" type="noConversion"/>
  </si>
  <si>
    <t>B0281(C60/ETB40) VB003 1Ca 20/9</t>
    <phoneticPr fontId="1" type="noConversion"/>
  </si>
  <si>
    <t>B05 VB064  LÊN LẠI THANH LÝ CÚI 20/9</t>
    <phoneticPr fontId="1" type="noConversion"/>
  </si>
  <si>
    <t>SO41269A(BPM20-U) TJVA020U 3.5T 19/9</t>
    <phoneticPr fontId="1" type="noConversion"/>
  </si>
  <si>
    <t>B1067 VA110U 2CA 18/9 1*4</t>
    <phoneticPr fontId="1" type="noConversion"/>
  </si>
  <si>
    <t>B1123(AA) VA004 1CA  20/9  KT</t>
    <phoneticPr fontId="1" type="noConversion"/>
  </si>
  <si>
    <t>B14B VA070 1T 18/9  KT</t>
    <phoneticPr fontId="1" type="noConversion"/>
  </si>
  <si>
    <t xml:space="preserve">B1019(AA) JVA118U 2CA 20/9  </t>
    <phoneticPr fontId="1" type="noConversion"/>
  </si>
  <si>
    <t>BCVC1047  VA006U 2CA 17/9 KT</t>
    <phoneticPr fontId="1" type="noConversion"/>
  </si>
  <si>
    <t>B0281(OCN) VB006 1.5T 19/9   15*16</t>
    <phoneticPr fontId="1" type="noConversion"/>
  </si>
  <si>
    <t>B0209(AAA)  JVB029 1CA 19/9 KT</t>
    <phoneticPr fontId="1" type="noConversion"/>
  </si>
  <si>
    <t>B2347 VB066 CHẠY TRC 66.15 LB 19/9</t>
    <phoneticPr fontId="1" type="noConversion"/>
  </si>
  <si>
    <t>B0210(OCR)  VB005 1CA 18/9</t>
    <phoneticPr fontId="1" type="noConversion"/>
  </si>
  <si>
    <t>BCVC1062 VA005U 2CA 21/9</t>
    <phoneticPr fontId="1" type="noConversion"/>
  </si>
  <si>
    <t>B1123(AA) VA005U 1CA 18/9</t>
    <phoneticPr fontId="1" type="noConversion"/>
  </si>
  <si>
    <t>SGR92083B(CVC-AA)  VB037 2.5T 21/9  12*16</t>
    <phoneticPr fontId="1" type="noConversion"/>
  </si>
  <si>
    <t>B0210(OCN) VB021 2CA 19/9 kt</t>
    <phoneticPr fontId="1" type="noConversion"/>
  </si>
  <si>
    <t>BSY5514BBPM20 JVB007 2CA 19/9</t>
    <phoneticPr fontId="1" type="noConversion"/>
  </si>
  <si>
    <t>SO15163A  VB019   1ca  19/9 kt</t>
    <phoneticPr fontId="1" type="noConversion"/>
  </si>
  <si>
    <t xml:space="preserve">B0221 VB006 3.5T  19/9  </t>
    <phoneticPr fontId="1" type="noConversion"/>
  </si>
  <si>
    <t xml:space="preserve">BTC12B VA049U 3T 20/9 </t>
    <phoneticPr fontId="1" type="noConversion"/>
  </si>
  <si>
    <t xml:space="preserve">B1124V(EA20) VA003U 1T 19/9 </t>
    <phoneticPr fontId="1" type="noConversion"/>
  </si>
  <si>
    <t>B1114 VA011 1T 21/9  2*7</t>
    <phoneticPr fontId="1" type="noConversion"/>
  </si>
  <si>
    <t xml:space="preserve">B1004   VA186U 2T 19/9 </t>
    <phoneticPr fontId="1" type="noConversion"/>
  </si>
  <si>
    <t>B0459 VA024U 2.5T 19/9  kt</t>
    <phoneticPr fontId="1" type="noConversion"/>
  </si>
  <si>
    <t>BCVC1004 VA023 11CA 21/9</t>
    <phoneticPr fontId="1" type="noConversion"/>
  </si>
  <si>
    <t>BA37L(U) TJVA036U 1CA 22/9</t>
    <phoneticPr fontId="1" type="noConversion"/>
  </si>
  <si>
    <t>SA155794D(ER10-XY-U) VA011U XY  2T 29/9</t>
    <phoneticPr fontId="1" type="noConversion"/>
  </si>
  <si>
    <t>B1069 VA176U 8T 22/9</t>
    <phoneticPr fontId="1" type="noConversion"/>
  </si>
  <si>
    <t>BC04    VB052 22/9</t>
    <phoneticPr fontId="1" type="noConversion"/>
  </si>
  <si>
    <t>BC04 VB052 23/9</t>
    <phoneticPr fontId="1" type="noConversion"/>
  </si>
  <si>
    <t>SO15163A(BPM20) TJVB006 2T 23/9 15*16</t>
    <phoneticPr fontId="1" type="noConversion"/>
  </si>
  <si>
    <t xml:space="preserve">BCVC0285 VB014 1.5T 22/9  </t>
    <phoneticPr fontId="1" type="noConversion"/>
  </si>
  <si>
    <t>B0278 VB059 24 lần 23/9 16*24</t>
    <phoneticPr fontId="1" type="noConversion"/>
  </si>
  <si>
    <t xml:space="preserve">BM2813 JVB002 3.5T 19/9 </t>
    <phoneticPr fontId="1" type="noConversion"/>
  </si>
  <si>
    <t>BCR25(AA) JVB002US 1CA 20/9 kt</t>
    <phoneticPr fontId="1" type="noConversion"/>
  </si>
  <si>
    <t xml:space="preserve">BTC2366 VB011 2CA 20/9 </t>
    <phoneticPr fontId="1" type="noConversion"/>
  </si>
  <si>
    <t>B06B  VA058U 2CA 21/9 kt</t>
    <phoneticPr fontId="1" type="noConversion"/>
  </si>
  <si>
    <t>B1004(C60/ETB40) VA012U 1.5T 22/9  11*16</t>
    <phoneticPr fontId="1" type="noConversion"/>
  </si>
  <si>
    <t xml:space="preserve">SO41269A(U)  VA035 1.5T 20/9 </t>
    <phoneticPr fontId="1" type="noConversion"/>
  </si>
  <si>
    <t>B06A(FH18)(T65/TE35-AA)   TJVA004U 2CA 24/9</t>
    <phoneticPr fontId="1" type="noConversion"/>
  </si>
  <si>
    <t>B2652   VA041U 2ca  21/9  1*4</t>
    <phoneticPr fontId="1" type="noConversion"/>
  </si>
  <si>
    <t>B1068 VA125U 1CA 22/9</t>
    <phoneticPr fontId="1" type="noConversion"/>
  </si>
  <si>
    <t>SGR83325A(U) JVA001U 1CA 24/9</t>
    <phoneticPr fontId="1" type="noConversion"/>
  </si>
  <si>
    <t>BC04 VB052 22/9</t>
    <phoneticPr fontId="1" type="noConversion"/>
  </si>
  <si>
    <t>BSG4053CERT50/C25/R25-EY-U JVA001U 2CA SỢI X-XY  25/9</t>
    <phoneticPr fontId="1" type="noConversion"/>
  </si>
  <si>
    <t>SA239066CTC-SD  VB011 2CA 23/9 kt</t>
    <phoneticPr fontId="1" type="noConversion"/>
  </si>
  <si>
    <t>BCVC104 VA047U 1T 21/9 kt</t>
    <phoneticPr fontId="1" type="noConversion"/>
  </si>
  <si>
    <t>BMC03 VB005  1.5T 23/9 4*16</t>
  </si>
  <si>
    <t>BUM051AER30-AA-U VA004U 1CA 25/9</t>
  </si>
  <si>
    <t>SA155794D(ER10-XY-U) VA011U SỢI X 1T  23/9</t>
  </si>
  <si>
    <t>SP241571ABOC VB001 1CA 23/9 kt</t>
  </si>
  <si>
    <t>B0278 VB059 13.5 lần 21/9   10*13.5</t>
  </si>
  <si>
    <t>B0278 VB059 24 lần 22/9 21*24</t>
  </si>
  <si>
    <t>SGR92083B(CR30) VB008 1.5T 23/9 5*8</t>
  </si>
  <si>
    <t>B2212(OCN) VB006  12b 1.5T  23/9 8/12</t>
  </si>
  <si>
    <t>BC04 VB052 23/9</t>
  </si>
  <si>
    <t>B0281  VB062  2ca 23/9 kt</t>
    <phoneticPr fontId="1" type="noConversion"/>
  </si>
  <si>
    <t>B0210(OCN)  JVB022 1CA   24/9</t>
    <phoneticPr fontId="1" type="noConversion"/>
  </si>
  <si>
    <t>B2212(OCN) VB006  12b 1.5T  24/9 kt</t>
    <phoneticPr fontId="1" type="noConversion"/>
  </si>
  <si>
    <t>SO15012F  VB005 1.5T 23/9 kt</t>
    <phoneticPr fontId="1" type="noConversion"/>
  </si>
  <si>
    <t>BCVC0221  VB001 1T 23/9 kt</t>
    <phoneticPr fontId="1" type="noConversion"/>
  </si>
  <si>
    <t>B1004P(EA30)  VA011 1T 23/9</t>
    <phoneticPr fontId="1" type="noConversion"/>
  </si>
  <si>
    <t>BM(100M)04B(AA)  JVA010U 2T  24/9 14*17</t>
    <phoneticPr fontId="1" type="noConversion"/>
  </si>
  <si>
    <t>B11B  VA086U 14T 27/9</t>
    <phoneticPr fontId="1" type="noConversion"/>
  </si>
  <si>
    <t>SA200871AU VA063U 5T 23/9 kt</t>
    <phoneticPr fontId="1" type="noConversion"/>
  </si>
  <si>
    <t>BCVC0208 VB038 1.5T 25/9  4*8</t>
    <phoneticPr fontId="1" type="noConversion"/>
  </si>
  <si>
    <t>B2347 VB066 5T 24/9  kt</t>
    <phoneticPr fontId="1" type="noConversion"/>
  </si>
  <si>
    <t>SA239198BAA-GF VB012 1CA 24/9 kt</t>
    <phoneticPr fontId="1" type="noConversion"/>
  </si>
  <si>
    <t>SA162273A(U) TJVA132U 1T 24/9</t>
    <phoneticPr fontId="1" type="noConversion"/>
  </si>
  <si>
    <t>BCVC06B VA026U 2CA    24/9 3*4</t>
    <phoneticPr fontId="1" type="noConversion"/>
  </si>
  <si>
    <t xml:space="preserve">BPM1062  VA006    2CA  23/9 </t>
    <phoneticPr fontId="1" type="noConversion"/>
  </si>
  <si>
    <t>BPM1047 VA004 2CA 25/9</t>
    <phoneticPr fontId="1" type="noConversion"/>
  </si>
  <si>
    <t>BCVC04B VA072U 3T  24/9  kt</t>
    <phoneticPr fontId="1" type="noConversion"/>
  </si>
  <si>
    <t>SR215328BPM20-U JVA008U  2.5T  23/9 kt</t>
    <phoneticPr fontId="1" type="noConversion"/>
  </si>
  <si>
    <t>B2652 VA043UUA 1CA 24/9 kt</t>
    <phoneticPr fontId="1" type="noConversion"/>
  </si>
  <si>
    <t>SA200871AU VA063U 5T 24/9 kt</t>
    <phoneticPr fontId="1" type="noConversion"/>
  </si>
  <si>
    <t>BCVC07B VA080U 1CA 26/9</t>
    <phoneticPr fontId="1" type="noConversion"/>
  </si>
  <si>
    <t>BM(70)07B  VA002 1CA 26/9</t>
    <phoneticPr fontId="1" type="noConversion"/>
  </si>
  <si>
    <t>SA192462AU VA010U 6T 24/9 KT</t>
    <phoneticPr fontId="1" type="noConversion"/>
  </si>
  <si>
    <t>BNC04C VB037 1.5T 26/9 kt</t>
    <phoneticPr fontId="1" type="noConversion"/>
  </si>
  <si>
    <t>B0209 VB028 6T 26/9 24b  20*24</t>
    <phoneticPr fontId="1" type="noConversion"/>
  </si>
  <si>
    <t>SO241260A  JVB002 1CA 26/9</t>
    <phoneticPr fontId="1" type="noConversion"/>
  </si>
  <si>
    <t xml:space="preserve"> SO06093D  VB017 2.5T 26/9  11*16</t>
    <phoneticPr fontId="1" type="noConversion"/>
  </si>
  <si>
    <t>B1067 VA11U 1.5T 26/9  4*10</t>
    <phoneticPr fontId="1" type="noConversion"/>
  </si>
  <si>
    <t>BNC01(CVC) VB018  16.5b 3T 26/9 16.5*20.5</t>
    <phoneticPr fontId="1" type="noConversion"/>
  </si>
  <si>
    <t>BUM033AER30-AA-U TJVA002U 1.5T 25/9 5*8</t>
    <phoneticPr fontId="1" type="noConversion"/>
  </si>
  <si>
    <t>B1069(OCN)  VA045U 2CA 28/9</t>
    <phoneticPr fontId="1" type="noConversion"/>
  </si>
  <si>
    <t>B0209 VB028 6T 25/9 20b  kt</t>
    <phoneticPr fontId="1" type="noConversion"/>
  </si>
  <si>
    <t>B0201A4(NP) VB001 1CA  23/9</t>
    <phoneticPr fontId="1" type="noConversion"/>
  </si>
  <si>
    <t>B0209 VB028 26/9 21b kt</t>
    <phoneticPr fontId="1" type="noConversion"/>
  </si>
  <si>
    <t>SO41269A(U) JVA036U 1CA 26/9</t>
    <phoneticPr fontId="1" type="noConversion"/>
  </si>
  <si>
    <t>B0202 VB027  1T 28/9  3*8</t>
    <phoneticPr fontId="1" type="noConversion"/>
  </si>
  <si>
    <t>B09B(C60/ETB40) VA016U 2CA 26/9 kt</t>
    <phoneticPr fontId="1" type="noConversion"/>
  </si>
  <si>
    <t>BM02B VA006U 18b 2.5T 27/9  13*18</t>
    <phoneticPr fontId="1" type="noConversion"/>
  </si>
  <si>
    <t>B1069 VA177U 1T   27/9  1*8</t>
    <phoneticPr fontId="1" type="noConversion"/>
  </si>
  <si>
    <t>B04B VA088  27/9</t>
    <phoneticPr fontId="1" type="noConversion"/>
  </si>
  <si>
    <t>B04B VA088  28/9</t>
    <phoneticPr fontId="1" type="noConversion"/>
  </si>
  <si>
    <t>SGR92083B VB106  13T 27/9</t>
    <phoneticPr fontId="1" type="noConversion"/>
  </si>
  <si>
    <t>B0280 VB034 1CA 26/9  kt</t>
    <phoneticPr fontId="1" type="noConversion"/>
  </si>
  <si>
    <t>B1067(OCN) VA009U 1T 26/9  0*4</t>
    <phoneticPr fontId="1" type="noConversion"/>
  </si>
  <si>
    <t>BNC01(CVC) VB018  26b 2T 28/9 18*22</t>
    <phoneticPr fontId="1" type="noConversion"/>
  </si>
  <si>
    <t>B2796 VB019-A  1CA 28/9 kt</t>
    <phoneticPr fontId="1" type="noConversion"/>
  </si>
  <si>
    <t xml:space="preserve">B2796 VB019 1.5T 27/9  </t>
    <phoneticPr fontId="1" type="noConversion"/>
  </si>
  <si>
    <t>BNC01(CVC) VB018  30b 3T 27/9  kt</t>
    <phoneticPr fontId="1" type="noConversion"/>
  </si>
  <si>
    <t>SO06093D  VB018 1CA 27/9 0*4</t>
    <phoneticPr fontId="1" type="noConversion"/>
  </si>
  <si>
    <t>SGR92083B  JVB108 1CA 26/9</t>
    <phoneticPr fontId="1" type="noConversion"/>
  </si>
  <si>
    <t>B2F025 VB001 1CA 26/9</t>
    <phoneticPr fontId="1" type="noConversion"/>
  </si>
  <si>
    <t>BNC01 VB039 2CA 26/9</t>
    <phoneticPr fontId="1" type="noConversion"/>
  </si>
  <si>
    <t>B2621(C60/ETB40) VB005 2CA 28/9 kt</t>
    <phoneticPr fontId="1" type="noConversion"/>
  </si>
  <si>
    <t>B1030  VA019 1CA 27/9 kt</t>
    <phoneticPr fontId="1" type="noConversion"/>
  </si>
  <si>
    <t>B02B VA121U 1T 27/9  5*7</t>
    <phoneticPr fontId="1" type="noConversion"/>
  </si>
  <si>
    <t>BM02B VA006U 20b 2.5T 27/9  17*20</t>
    <phoneticPr fontId="1" type="noConversion"/>
  </si>
  <si>
    <t>B09B VA090U 2CA 27/9  2*4</t>
    <phoneticPr fontId="1" type="noConversion"/>
  </si>
  <si>
    <t>B1004 VA187UUA  2CA 27/9 0*4</t>
    <phoneticPr fontId="1" type="noConversion"/>
  </si>
  <si>
    <t>B1068(OCN) VA012 1CA 28/9</t>
    <phoneticPr fontId="1" type="noConversion"/>
  </si>
  <si>
    <t>BSR4051BERT50/C25R25-SD-XY-U VA001 SỢI X 1T 27/9  1*3</t>
    <phoneticPr fontId="1" type="noConversion"/>
  </si>
  <si>
    <t>SO205078BAA VB002  7T  30/9</t>
    <phoneticPr fontId="1" type="noConversion"/>
  </si>
  <si>
    <t>SGR01899E VB019 1.5T 28/9  KT</t>
    <phoneticPr fontId="1" type="noConversion"/>
  </si>
  <si>
    <t>BPM(50)C02 VB004 1CA  27/9</t>
    <phoneticPr fontId="1" type="noConversion"/>
  </si>
  <si>
    <t>SA155427K  JVB009  1.5T 28/9  kt</t>
    <phoneticPr fontId="1" type="noConversion"/>
  </si>
  <si>
    <t>SA249285A VB001 1T 30/9</t>
    <phoneticPr fontId="1" type="noConversion"/>
  </si>
  <si>
    <t>SGR92083B VB106  10T 29/9</t>
    <phoneticPr fontId="1" type="noConversion"/>
  </si>
  <si>
    <t>B2214  VB097 4T 28/9  23*23+3*4</t>
    <phoneticPr fontId="1" type="noConversion"/>
  </si>
  <si>
    <t>B2366 VB055 2CA 29/9 0*3</t>
    <phoneticPr fontId="1" type="noConversion"/>
  </si>
  <si>
    <t>BM0208 VB024 1T 29/9  3*8</t>
    <phoneticPr fontId="1" type="noConversion"/>
  </si>
  <si>
    <t>B0278 VB060 1T 30/9  3*8</t>
    <phoneticPr fontId="1" type="noConversion"/>
  </si>
  <si>
    <t>BTC2401 VB004 1T 29/9 2*8</t>
    <phoneticPr fontId="1" type="noConversion"/>
  </si>
  <si>
    <t>B2795 VB002 1CA 29/9 kt</t>
    <phoneticPr fontId="1" type="noConversion"/>
  </si>
  <si>
    <t>BA37L(U) VA137U 1.5T 29/9  9*16</t>
    <phoneticPr fontId="1" type="noConversion"/>
  </si>
  <si>
    <t>B1124V(EA30) JVA002U 1T 29/9  2*7</t>
    <phoneticPr fontId="1" type="noConversion"/>
  </si>
  <si>
    <t>SA240821BU  3VA002U 2T 29/9  7*16</t>
    <phoneticPr fontId="1" type="noConversion"/>
  </si>
  <si>
    <t>BM12B  VA049U 2.5T 30/9  2*16</t>
    <phoneticPr fontId="1" type="noConversion"/>
  </si>
  <si>
    <t>BM(70M)1068(BPM)  JVA002U 2CA 28/9  0*4</t>
    <phoneticPr fontId="1" type="noConversion"/>
  </si>
  <si>
    <t>B2782 VB008 2CA  29/9</t>
    <phoneticPr fontId="1" type="noConversion"/>
  </si>
  <si>
    <t>BC03 VB059 21b 1/10</t>
    <phoneticPr fontId="1" type="noConversion"/>
  </si>
  <si>
    <t>BC03 VB059 16T  12/10  24.5b 2/10</t>
    <phoneticPr fontId="1" type="noConversion"/>
  </si>
  <si>
    <t>BC04 VB052  21b 29/9</t>
    <phoneticPr fontId="1" type="noConversion"/>
  </si>
  <si>
    <t>BC04 VB052  18b 28/9</t>
    <phoneticPr fontId="1" type="noConversion"/>
  </si>
  <si>
    <t>BVA004A VA012U 20T 1/10</t>
    <phoneticPr fontId="1" type="noConversion"/>
  </si>
  <si>
    <t>BVA004A VA012U 20T 2/10</t>
    <phoneticPr fontId="1" type="noConversion"/>
  </si>
  <si>
    <t>SA162273A(U)  TJVA133U  2CA30/9</t>
    <phoneticPr fontId="1" type="noConversion"/>
  </si>
  <si>
    <t>B1069 VA180U 1CA 1/10</t>
    <phoneticPr fontId="1" type="noConversion"/>
  </si>
  <si>
    <t>SGR41668A(CVC5-U)  VA031U 8T19/9</t>
    <phoneticPr fontId="1" type="noConversion"/>
  </si>
  <si>
    <t>SGR92083B(C60/ERT40) VB001 2CA 26/9 kt</t>
    <phoneticPr fontId="1" type="noConversion"/>
  </si>
  <si>
    <t>BC04 VB052 33.5b 2/10</t>
    <phoneticPr fontId="1" type="noConversion"/>
  </si>
  <si>
    <t>SGR92083B(C60/ERT40) VB001-A bù đơn KT</t>
  </si>
  <si>
    <t>BCVC0208 JVB039  1CA 28/9 KT</t>
  </si>
  <si>
    <t>BM(70M)C02(BPM) VB001 2CA 1/10</t>
  </si>
  <si>
    <t>BOC0285 VB005 1CA 30/9 KT</t>
  </si>
  <si>
    <t>BM(100)2653 VB001 1CA 30/9  1*3</t>
  </si>
  <si>
    <t>BM2650 VB003 1T 29/9  KT</t>
  </si>
  <si>
    <t>BCR(30)2214(AA) JVB017 1T 30/9  7*8</t>
    <phoneticPr fontId="1" type="noConversion"/>
  </si>
  <si>
    <t>BPM(20)2866 VB001 1CA 29/9</t>
    <phoneticPr fontId="1" type="noConversion"/>
  </si>
  <si>
    <t>BSR4051BERT50/C25R25-SD-XY-U VA001 XY  2T 29/9 kt</t>
    <phoneticPr fontId="1" type="noConversion"/>
  </si>
  <si>
    <t>B1124(C60/ETB40)  VA013U  1T 1/10 2*7</t>
    <phoneticPr fontId="1" type="noConversion"/>
  </si>
  <si>
    <t>BM(70M)0275(BPM)  JVA001U  2CA 29/9  kt</t>
    <phoneticPr fontId="1" type="noConversion"/>
  </si>
  <si>
    <t>BPL0275 VA001 1CA 29/9</t>
    <phoneticPr fontId="1" type="noConversion"/>
  </si>
  <si>
    <t>B2881(AA) VB003 2CA 1/10 0*4</t>
    <phoneticPr fontId="1" type="noConversion"/>
  </si>
  <si>
    <t>B12B VA138U 2CA 2/10</t>
    <phoneticPr fontId="1" type="noConversion"/>
  </si>
  <si>
    <t>SGR92083B(BPM20) VB017 1CA 29/9  0*4</t>
    <phoneticPr fontId="1" type="noConversion"/>
  </si>
  <si>
    <t>SGR92083B(BPM20) VB017 bù 1/10</t>
    <phoneticPr fontId="1" type="noConversion"/>
  </si>
  <si>
    <t>B1004 VA188U BỦ GẤP 1/10</t>
    <phoneticPr fontId="1" type="noConversion"/>
  </si>
  <si>
    <t>BMC03(AA) VB006 1CA 30/9  kt</t>
    <phoneticPr fontId="1" type="noConversion"/>
  </si>
  <si>
    <t>SO205078BAA VB002 5T  1/10 kt</t>
    <phoneticPr fontId="1" type="noConversion"/>
  </si>
  <si>
    <t>SGR01899E  VB020 2CA 1/10 kt</t>
    <phoneticPr fontId="1" type="noConversion"/>
  </si>
  <si>
    <t>BCVC104  JVA049 1CA 1/10  0*4</t>
    <phoneticPr fontId="1" type="noConversion"/>
  </si>
  <si>
    <t>BCVC1019 VA041U  1CA 2/10</t>
    <phoneticPr fontId="1" type="noConversion"/>
  </si>
  <si>
    <t>B8224 VB028 2T 1/10  kt</t>
    <phoneticPr fontId="1" type="noConversion"/>
  </si>
  <si>
    <t>BC03 VB059 16T  12/10  27b 1/10</t>
    <phoneticPr fontId="1" type="noConversion"/>
  </si>
  <si>
    <t>B05 VB064-A 9T 1/10</t>
    <phoneticPr fontId="1" type="noConversion"/>
  </si>
  <si>
    <t>B1069 JVA179U 1T 2/10 0*8</t>
    <phoneticPr fontId="1" type="noConversion"/>
  </si>
  <si>
    <t>BM(20)07B  VA001U 1CA 3/10</t>
    <phoneticPr fontId="1" type="noConversion"/>
  </si>
  <si>
    <t>BUM009AERC30-AA TJVA002U 18T 7/10</t>
    <phoneticPr fontId="1" type="noConversion"/>
  </si>
  <si>
    <t>B2656 VB045 2CA 1/10</t>
    <phoneticPr fontId="1" type="noConversion"/>
  </si>
  <si>
    <t>SO17056F  VB014 1CA  1/10</t>
    <phoneticPr fontId="1" type="noConversion"/>
  </si>
  <si>
    <t>BCR(30)2214 VB016 2T 2/10 kt</t>
    <phoneticPr fontId="1" type="noConversion"/>
  </si>
  <si>
    <t>B2452 JVB005 1CA 2/10</t>
    <phoneticPr fontId="1" type="noConversion"/>
  </si>
  <si>
    <t>SO202477E  VB016 1CA 1/10</t>
    <phoneticPr fontId="1" type="noConversion"/>
  </si>
  <si>
    <t>B0280 VB035 1CA 1/10 kt</t>
    <phoneticPr fontId="1" type="noConversion"/>
  </si>
  <si>
    <t>BC04 VB052 33.5b 1/10 kt</t>
    <phoneticPr fontId="1" type="noConversion"/>
  </si>
  <si>
    <t>B1069 VA178U 3T 4/10 17*23</t>
    <phoneticPr fontId="1" type="noConversion"/>
  </si>
  <si>
    <t>B02B VA122U  1.5T 2/10  9*10</t>
    <phoneticPr fontId="1" type="noConversion"/>
  </si>
  <si>
    <t>B04B(AA) TJVA091U 5T 3/10  27*31</t>
    <phoneticPr fontId="1" type="noConversion"/>
  </si>
  <si>
    <t>B1069(OCN)  JVA046U 1CA 4/10</t>
    <phoneticPr fontId="1" type="noConversion"/>
  </si>
  <si>
    <t>B2659 VA026U 1CA 3/10</t>
    <phoneticPr fontId="1" type="noConversion"/>
  </si>
  <si>
    <t xml:space="preserve">SGR41668A(CVC5-U) JVA032U 3T 1/10  </t>
    <phoneticPr fontId="1" type="noConversion"/>
  </si>
  <si>
    <t>SGR92083B(CR30) VB009 1T 1/10</t>
    <phoneticPr fontId="1" type="noConversion"/>
  </si>
  <si>
    <t>BM(100)2347(AA)  VB004  1CA 2/10 kt</t>
    <phoneticPr fontId="1" type="noConversion"/>
  </si>
  <si>
    <t>SGR92083B(BPM20) VB018 1CA kt</t>
    <phoneticPr fontId="1" type="noConversion"/>
  </si>
  <si>
    <t>BTM(50)2657 VB001 2T 4/10  5*8</t>
    <phoneticPr fontId="1" type="noConversion"/>
  </si>
  <si>
    <t>BC03 VB059 16T  12/10 29.5b  3/10 kt</t>
    <phoneticPr fontId="1" type="noConversion"/>
  </si>
  <si>
    <t>BCVC0285 VB015 1T 5/10 kt</t>
    <phoneticPr fontId="1" type="noConversion"/>
  </si>
  <si>
    <t>B2796  VB020UA 1T 4/10  kt</t>
    <phoneticPr fontId="1" type="noConversion"/>
  </si>
  <si>
    <t>SO17056F  VB013 2CA  2/10  kt</t>
    <phoneticPr fontId="1" type="noConversion"/>
  </si>
  <si>
    <t>SO241260A VB003 1ca 3/10 kt</t>
    <phoneticPr fontId="1" type="noConversion"/>
  </si>
  <si>
    <t>BVA004A VA012U 20T 2/10 KT</t>
    <phoneticPr fontId="1" type="noConversion"/>
  </si>
  <si>
    <t>SA192462AU VA011U 1T 2/10 KT</t>
    <phoneticPr fontId="1" type="noConversion"/>
  </si>
  <si>
    <t>B06A(FH18)(M50/C45/OC5-AA) JVA004U  2CA 4/10 0*4</t>
    <phoneticPr fontId="1" type="noConversion"/>
  </si>
  <si>
    <t>B05 VB064-A 9T 3/10</t>
    <phoneticPr fontId="1" type="noConversion"/>
  </si>
  <si>
    <t>B0204 VB013 1CA 4/10</t>
    <phoneticPr fontId="1" type="noConversion"/>
  </si>
  <si>
    <t>SGR41667A(CVC20-XY)  VB039 SỢI X 2.5T 5/10  4*9</t>
    <phoneticPr fontId="1" type="noConversion"/>
  </si>
  <si>
    <t>BC02 VB077 13T 20/10</t>
    <phoneticPr fontId="1" type="noConversion"/>
  </si>
  <si>
    <t>B2781 VB022 1CA 4/10 kt</t>
    <phoneticPr fontId="1" type="noConversion"/>
  </si>
  <si>
    <t>BCVC2781 JVB004 2CA 5/10 kt</t>
    <phoneticPr fontId="1" type="noConversion"/>
  </si>
  <si>
    <t>BUM006AER30-AA 4T 3/10 kt</t>
    <phoneticPr fontId="1" type="noConversion"/>
  </si>
  <si>
    <t>BFC08-130 VB030UA SỢI X bù 3/10 kt</t>
    <phoneticPr fontId="1" type="noConversion"/>
  </si>
  <si>
    <t>B2F028 JVB001 1CA 4/10 kt</t>
    <phoneticPr fontId="1" type="noConversion"/>
  </si>
  <si>
    <t>B0423(OCN) VA002U  1.5T 4/10 kt</t>
    <phoneticPr fontId="1" type="noConversion"/>
  </si>
  <si>
    <t>B1068  VA126 2CA 4/10 2*4</t>
    <phoneticPr fontId="1" type="noConversion"/>
  </si>
  <si>
    <t>BOC(90)1005 JVA005U 1CA 4/10</t>
    <phoneticPr fontId="1" type="noConversion"/>
  </si>
  <si>
    <t>B1114  JVA012U 3T 6/10  16*23</t>
    <phoneticPr fontId="1" type="noConversion"/>
  </si>
  <si>
    <t>BCVC104 VA050U 1T 7/10  2*7</t>
    <phoneticPr fontId="1" type="noConversion"/>
  </si>
  <si>
    <t>B1067 VA012U 1.5T 5/10 11*16</t>
    <phoneticPr fontId="1" type="noConversion"/>
  </si>
  <si>
    <t>BM(70M)1068(BPM-AA) VA003U 1CA 4/10</t>
    <phoneticPr fontId="1" type="noConversion"/>
  </si>
  <si>
    <t>B2367(OCN) VB011 1CA 7/10</t>
    <phoneticPr fontId="1" type="noConversion"/>
  </si>
  <si>
    <t>B3F002 JVB001 1CA 6/10 kt</t>
    <phoneticPr fontId="1" type="noConversion"/>
  </si>
  <si>
    <t>BUM006AER30-AA 4T 5/10 kt</t>
    <phoneticPr fontId="1" type="noConversion"/>
  </si>
  <si>
    <t>BOCC03 VB011 1CA 4/10 kt</t>
    <phoneticPr fontId="1" type="noConversion"/>
  </si>
  <si>
    <t>B2214 VB099 1CA 5/10 kt</t>
    <phoneticPr fontId="1" type="noConversion"/>
  </si>
  <si>
    <t>BOC2449 VB004 2CA 4/10</t>
    <phoneticPr fontId="1" type="noConversion"/>
  </si>
  <si>
    <t>SGR92083B(CR30-AA) VB011 1CA 4/10</t>
    <phoneticPr fontId="1" type="noConversion"/>
  </si>
  <si>
    <t>B0209(C60/ETB40) VB002 1CA 5/10 kt</t>
    <phoneticPr fontId="1" type="noConversion"/>
  </si>
  <si>
    <t>BCVC12B VA068U 1CA 4/10 kt</t>
    <phoneticPr fontId="1" type="noConversion"/>
  </si>
  <si>
    <t>B06A(FH18)(T65/TE35-AA) JVA005U  1.5T 6/10  6*8</t>
    <phoneticPr fontId="1" type="noConversion"/>
  </si>
  <si>
    <t>BCVC(40ETB)104 VA041U 4T 8/10 24*31</t>
    <phoneticPr fontId="1" type="noConversion"/>
  </si>
  <si>
    <t>SA191068BOCR-U JVA002U 1CA 4/10 kt</t>
    <phoneticPr fontId="1" type="noConversion"/>
  </si>
  <si>
    <t>B06A(FH18)(BOC10)  VA018 1T 4/10</t>
    <phoneticPr fontId="1" type="noConversion"/>
  </si>
  <si>
    <t>SA215376I JVB019 1CA 6/10</t>
    <phoneticPr fontId="1" type="noConversion"/>
  </si>
  <si>
    <t>EY002</t>
    <phoneticPr fontId="1" type="noConversion"/>
  </si>
  <si>
    <t>VE-9004A</t>
  </si>
  <si>
    <t>EK002</t>
    <phoneticPr fontId="1" type="noConversion"/>
  </si>
  <si>
    <t>VE-9184A</t>
    <phoneticPr fontId="1" type="noConversion"/>
  </si>
  <si>
    <t>EK003</t>
    <phoneticPr fontId="1" type="noConversion"/>
  </si>
  <si>
    <t>JVE-9819A</t>
    <phoneticPr fontId="1" type="noConversion"/>
  </si>
  <si>
    <t>EH007</t>
    <phoneticPr fontId="1" type="noConversion"/>
  </si>
  <si>
    <t>JVE-9685A</t>
    <phoneticPr fontId="1" type="noConversion"/>
  </si>
  <si>
    <t>JVE-9261A</t>
    <phoneticPr fontId="1" type="noConversion"/>
  </si>
  <si>
    <t>JVE-9476A</t>
    <phoneticPr fontId="1" type="noConversion"/>
  </si>
  <si>
    <t>UVE-9722A</t>
    <phoneticPr fontId="1" type="noConversion"/>
  </si>
  <si>
    <t>EO001</t>
    <phoneticPr fontId="1" type="noConversion"/>
  </si>
  <si>
    <t>JVE-9831A</t>
    <phoneticPr fontId="1" type="noConversion"/>
  </si>
  <si>
    <t>VE-8744A</t>
    <phoneticPr fontId="1" type="noConversion"/>
  </si>
  <si>
    <t>JVE-9422A</t>
    <phoneticPr fontId="1" type="noConversion"/>
  </si>
  <si>
    <t>UVE-9812A</t>
    <phoneticPr fontId="1" type="noConversion"/>
  </si>
  <si>
    <t>UVE-9811A</t>
    <phoneticPr fontId="1" type="noConversion"/>
  </si>
  <si>
    <t>VE-8837A</t>
    <phoneticPr fontId="1" type="noConversion"/>
  </si>
  <si>
    <t>EO001</t>
    <phoneticPr fontId="1" type="noConversion"/>
  </si>
  <si>
    <t>UVE-9810A</t>
    <phoneticPr fontId="1" type="noConversion"/>
  </si>
  <si>
    <t>JVE-9758A</t>
    <phoneticPr fontId="1" type="noConversion"/>
  </si>
  <si>
    <t>JVE-9401MA</t>
    <phoneticPr fontId="1" type="noConversion"/>
  </si>
  <si>
    <t>EY004</t>
    <phoneticPr fontId="1" type="noConversion"/>
  </si>
  <si>
    <t>EK001</t>
    <phoneticPr fontId="1" type="noConversion"/>
  </si>
  <si>
    <t>BCR(30)2214(AA) JVB018  1CA  6/10</t>
  </si>
  <si>
    <t>BFC13-03(TM70) JVB001 1ca 7/10</t>
  </si>
  <si>
    <t>BC02 VB080 1CA 6/10</t>
  </si>
  <si>
    <t>BC02 VB079 1CA 5/10</t>
  </si>
  <si>
    <t>BUM006AER30-AA 4T 6/10 KT</t>
  </si>
  <si>
    <t>B2366(OCN) VB004 1CA6 /10 KT</t>
  </si>
  <si>
    <t>B2214 VB098 1.5T 7/10 6*8</t>
    <phoneticPr fontId="1" type="noConversion"/>
  </si>
  <si>
    <t>SO205078BBM100 VB003 1T  6/10 kt</t>
    <phoneticPr fontId="1" type="noConversion"/>
  </si>
  <si>
    <t>BFC08-130 VB030UA SỢI X- XY 4T 6/10 kt</t>
    <phoneticPr fontId="1" type="noConversion"/>
  </si>
  <si>
    <t>BTC0201  JVB022 3.5T 6/10  kt</t>
    <phoneticPr fontId="1" type="noConversion"/>
  </si>
  <si>
    <t>BCVC(35)103  VA006U  2.5T 6/10 kt</t>
    <phoneticPr fontId="1" type="noConversion"/>
  </si>
  <si>
    <t>BSR4051BERT50/C25R25-SD-XY-U VA002 XY  1T 6/10 kt</t>
    <phoneticPr fontId="1" type="noConversion"/>
  </si>
  <si>
    <t>BTE(LF)1004 VA004U 1CA 6/10 kt</t>
    <phoneticPr fontId="1" type="noConversion"/>
  </si>
  <si>
    <t>BSR4051BERT50/C25R25-SD-XY-U VA002 SỢI X 1T 6/10 kt</t>
    <phoneticPr fontId="1" type="noConversion"/>
  </si>
  <si>
    <t>SO206427I JVB022 1T 7/10 kt</t>
    <phoneticPr fontId="1" type="noConversion"/>
  </si>
  <si>
    <t>B2656 VB046 1T 6/10</t>
    <phoneticPr fontId="1" type="noConversion"/>
  </si>
  <si>
    <t>B07B VA121U  14/10</t>
    <phoneticPr fontId="1" type="noConversion"/>
  </si>
  <si>
    <t>BOC2452 VB001 1CA 11/10</t>
    <phoneticPr fontId="1" type="noConversion"/>
  </si>
  <si>
    <t>B0213 VB022 1T 8/10  kt</t>
    <phoneticPr fontId="1" type="noConversion"/>
  </si>
  <si>
    <t>B2282 VB028 1T 8/10  kt</t>
    <phoneticPr fontId="1" type="noConversion"/>
  </si>
  <si>
    <t>BCVC2824 VB001 1CA 8/10 kt</t>
    <phoneticPr fontId="1" type="noConversion"/>
  </si>
  <si>
    <t>B3F002 JVB001 1CA 8/10  kt</t>
    <phoneticPr fontId="1" type="noConversion"/>
  </si>
  <si>
    <t>SO205078BCVC VB022 1T 8/10 kt</t>
    <phoneticPr fontId="1" type="noConversion"/>
  </si>
  <si>
    <t>B02B VA123 2CA 8/10  3*4</t>
    <phoneticPr fontId="1" type="noConversion"/>
  </si>
  <si>
    <t>B1124 VB007 1CA 7/10</t>
    <phoneticPr fontId="1" type="noConversion"/>
  </si>
  <si>
    <t>B8224 VA029U 1CA 7/10</t>
    <phoneticPr fontId="1" type="noConversion"/>
  </si>
  <si>
    <t>B1124(C60/ETB40) JVA014U 1CA 8/10  kt</t>
    <phoneticPr fontId="1" type="noConversion"/>
  </si>
  <si>
    <t>BA37L(U)  JVA038 1CA 9/10</t>
    <phoneticPr fontId="1" type="noConversion"/>
  </si>
  <si>
    <t>B1123(AA)  JVA006U 1CA 9/10</t>
    <phoneticPr fontId="1" type="noConversion"/>
  </si>
  <si>
    <t>B2366 VB056 1T 10/10  5*8</t>
    <phoneticPr fontId="1" type="noConversion"/>
  </si>
  <si>
    <t>B2F030 VB002 1CA 8/10 kt</t>
    <phoneticPr fontId="1" type="noConversion"/>
  </si>
  <si>
    <t>B2652 VA044U 1T 9/10  2*7</t>
    <phoneticPr fontId="1" type="noConversion"/>
  </si>
  <si>
    <t>BCVC(40ETB)104 VA042U 6T 8/10 kt</t>
    <phoneticPr fontId="1" type="noConversion"/>
  </si>
  <si>
    <t>BCVC(40ETB)104 VA042U 6T 9/10   kt</t>
    <phoneticPr fontId="1" type="noConversion"/>
  </si>
  <si>
    <t>B2621 VB069 1CA 11/10</t>
    <phoneticPr fontId="1" type="noConversion"/>
  </si>
  <si>
    <t>SGR92083B JVB111 2CA 11/10 KT</t>
    <phoneticPr fontId="1" type="noConversion"/>
  </si>
  <si>
    <t>B0279 VB032 2T 11/10 11*16</t>
    <phoneticPr fontId="1" type="noConversion"/>
  </si>
  <si>
    <t>B0208 VB058 1T 9/10 KT</t>
    <phoneticPr fontId="1" type="noConversion"/>
  </si>
  <si>
    <t>SA239181BBM VB004 8 BÚP 1T 10/10  KT</t>
    <phoneticPr fontId="1" type="noConversion"/>
  </si>
  <si>
    <t>SGR92083B VB109 1T 8/10  KT</t>
    <phoneticPr fontId="1" type="noConversion"/>
  </si>
  <si>
    <t>B0210(OCR) VB006 1T 8/10 KT</t>
    <phoneticPr fontId="1" type="noConversion"/>
  </si>
  <si>
    <t>B09B  VA091U  1CA 10/10 kt</t>
    <phoneticPr fontId="1" type="noConversion"/>
  </si>
  <si>
    <t xml:space="preserve">SA170299A(BM100M-AA-U) VA016U 1CA 10/10 kt </t>
    <phoneticPr fontId="1" type="noConversion"/>
  </si>
  <si>
    <t>BCVC(40ETB)104 VA042U 6T 9/10 kt</t>
    <phoneticPr fontId="1" type="noConversion"/>
  </si>
  <si>
    <t>BUM009AERC30-AA TJVA002U 18T 12/10</t>
    <phoneticPr fontId="1" type="noConversion"/>
  </si>
  <si>
    <t>SA239181BBM VB004 8 BÚP 1T 11/10 7*8</t>
    <phoneticPr fontId="1" type="noConversion"/>
  </si>
  <si>
    <t>BFC13-03(C60/ETB40)   JVB008 1CA 10/10 kt</t>
    <phoneticPr fontId="1" type="noConversion"/>
  </si>
  <si>
    <t>B2F026  JVB001 1ca 11/10</t>
    <phoneticPr fontId="1" type="noConversion"/>
  </si>
  <si>
    <t>SA240274ACVC VB004 3.5T 11/10  22*23</t>
    <phoneticPr fontId="1" type="noConversion"/>
  </si>
  <si>
    <t>B1052 JVA033U 1CA 10/10</t>
    <phoneticPr fontId="1" type="noConversion"/>
  </si>
  <si>
    <t>BA37L(U)  JVA039  1CA 10/10</t>
    <phoneticPr fontId="1" type="noConversion"/>
  </si>
  <si>
    <t>SGR82938A(BOC10-U)  JVA008 1CA 10/10</t>
    <phoneticPr fontId="1" type="noConversion"/>
  </si>
  <si>
    <t>BCVC1004 VA024U  1T 12/10   0*7</t>
    <phoneticPr fontId="1" type="noConversion"/>
  </si>
  <si>
    <t>B2F029  JVB002 1ca 11/10  KT</t>
    <phoneticPr fontId="1" type="noConversion"/>
  </si>
  <si>
    <t>B2832 VB001 8 BÚP 14/10</t>
    <phoneticPr fontId="1" type="noConversion"/>
  </si>
  <si>
    <t>BOC0285 VB006 1CA 14/10</t>
    <phoneticPr fontId="1" type="noConversion"/>
  </si>
  <si>
    <t>BM0208 VB025 1T 15/10</t>
    <phoneticPr fontId="1" type="noConversion"/>
  </si>
  <si>
    <t xml:space="preserve">BFC08-128 VB001  SỢI X  1.5T 10/10 </t>
    <phoneticPr fontId="1" type="noConversion"/>
  </si>
  <si>
    <t>BPM(20)2214 VB013   1CA 11/10</t>
    <phoneticPr fontId="1" type="noConversion"/>
  </si>
  <si>
    <t>B2F011 JVB002 1ca 12/10</t>
    <phoneticPr fontId="1" type="noConversion"/>
  </si>
  <si>
    <t>B3F001 VB002 1CA 13/10</t>
    <phoneticPr fontId="1" type="noConversion"/>
  </si>
  <si>
    <t>SGR92083B VB110 20 lần 3T 12/10  kt</t>
    <phoneticPr fontId="1" type="noConversion"/>
  </si>
  <si>
    <t>SGR92083B VB110 21.5 lần 2.5T 13/10  18*21.5</t>
    <phoneticPr fontId="1" type="noConversion"/>
  </si>
  <si>
    <t>SGR92083B(BPM20) VB019 1CA 12/10  2*3</t>
    <phoneticPr fontId="1" type="noConversion"/>
  </si>
  <si>
    <t>SO06093D(BPM20) VB002 1CA 12/10</t>
    <phoneticPr fontId="1" type="noConversion"/>
  </si>
  <si>
    <t>BOC(90)2561 TJVB016Y 3T 12/10 13*16</t>
    <phoneticPr fontId="1" type="noConversion"/>
  </si>
  <si>
    <t>SO249287B  JVB001UA 1.5T   14/10 8*16</t>
    <phoneticPr fontId="1" type="noConversion"/>
  </si>
  <si>
    <t>BCVC0285 VB016 2CA 13/10 1*3</t>
    <phoneticPr fontId="1" type="noConversion"/>
  </si>
  <si>
    <t>B0278 VB061 4T 13/10  20*23</t>
    <phoneticPr fontId="1" type="noConversion"/>
  </si>
  <si>
    <t>B2F031 JVB002 1ca 13/10</t>
    <phoneticPr fontId="1" type="noConversion"/>
  </si>
  <si>
    <t>BN091AC54/ERN20/ERT20/OC6-U VA011U 12T 11/10  kt</t>
    <phoneticPr fontId="1" type="noConversion"/>
  </si>
  <si>
    <t>B06A(FH18)(T65/TE35-AA) VA006 1.5T 15/10 0*8</t>
    <phoneticPr fontId="1" type="noConversion"/>
  </si>
  <si>
    <t>B06A(FH18)(BOC10) VA089U 1CA 14/10</t>
    <phoneticPr fontId="1" type="noConversion"/>
  </si>
  <si>
    <t>B03(C60/ETB40)  JVB003 1CA 13/10</t>
    <phoneticPr fontId="1" type="noConversion"/>
  </si>
  <si>
    <t>B2621 VB070  2CA kt</t>
    <phoneticPr fontId="1" type="noConversion"/>
  </si>
  <si>
    <t>B0208 JVB059 1T 13/10 kt</t>
    <phoneticPr fontId="1" type="noConversion"/>
  </si>
  <si>
    <t>B2832 VB001 8 BÚP 13/10</t>
    <phoneticPr fontId="1" type="noConversion"/>
  </si>
  <si>
    <t>B2621(OCN) JVB007 2.5T 13/10  kt</t>
    <phoneticPr fontId="1" type="noConversion"/>
  </si>
  <si>
    <t>B0202  VB028 2CA 15/10  1*3</t>
    <phoneticPr fontId="1" type="noConversion"/>
  </si>
  <si>
    <t>B2214 VB100 2CA 14/10</t>
    <phoneticPr fontId="1" type="noConversion"/>
  </si>
  <si>
    <t>BPM2653  VB001 1CA 14/10 0*3</t>
    <phoneticPr fontId="1" type="noConversion"/>
  </si>
  <si>
    <t>B0279(C60/ETB40)  VB007  1CA 13/10</t>
    <phoneticPr fontId="1" type="noConversion"/>
  </si>
  <si>
    <t>BFC13-03(BM)  VB001 1CA 13/10</t>
    <phoneticPr fontId="1" type="noConversion"/>
  </si>
  <si>
    <t>BM(50)2347 VB001 1CA 13/10</t>
    <phoneticPr fontId="1" type="noConversion"/>
  </si>
  <si>
    <t>B2652 VA045 1T 15/10 11*16</t>
    <phoneticPr fontId="1" type="noConversion"/>
  </si>
  <si>
    <t>B14B 3JVA071U 1.5T 12/10</t>
    <phoneticPr fontId="1" type="noConversion"/>
  </si>
  <si>
    <t>B07B VA121U  14/10 14/10</t>
    <phoneticPr fontId="1" type="noConversion"/>
  </si>
  <si>
    <t xml:space="preserve">B07B VA121U  14/10 </t>
    <phoneticPr fontId="1" type="noConversion"/>
  </si>
  <si>
    <t>B2212  VB058 2CA 15/10</t>
    <phoneticPr fontId="1" type="noConversion"/>
  </si>
  <si>
    <t>BUM047AER30-AA-U TJVA003U 13T17/10</t>
    <phoneticPr fontId="1" type="noConversion"/>
  </si>
  <si>
    <t>BUM047AER30-AA-U TJVA003U 13T18/10</t>
    <phoneticPr fontId="1" type="noConversion"/>
  </si>
  <si>
    <t>BCVC104 VA052U 1.5T 13/10  KT</t>
    <phoneticPr fontId="1" type="noConversion"/>
  </si>
  <si>
    <t>B02B VA124U 5T 15/10</t>
    <phoneticPr fontId="1" type="noConversion"/>
  </si>
  <si>
    <t>BCVC07B  VA081 1T 15/10  kt</t>
    <phoneticPr fontId="1" type="noConversion"/>
  </si>
  <si>
    <t>BA37L(U)  VA140U 2CA 16/10 1*4</t>
    <phoneticPr fontId="1" type="noConversion"/>
  </si>
  <si>
    <t>SA229142AU  JVA009U 2CA 15/10</t>
    <phoneticPr fontId="1" type="noConversion"/>
  </si>
  <si>
    <t>B1067 VA114U 1CA 15/10</t>
    <phoneticPr fontId="1" type="noConversion"/>
  </si>
  <si>
    <t>B1069 VA181 2CA 17/10</t>
    <phoneticPr fontId="1" type="noConversion"/>
  </si>
  <si>
    <t>BSR4051BERT50/C25R25-SD-XY-U TJVA003U SỢI X 1CA 15/10 2*3</t>
    <phoneticPr fontId="1" type="noConversion"/>
  </si>
  <si>
    <t xml:space="preserve">BC02 VB077 </t>
    <phoneticPr fontId="1" type="noConversion"/>
  </si>
  <si>
    <t>B2366 VB057 2CA 16/10  2*3</t>
    <phoneticPr fontId="1" type="noConversion"/>
  </si>
  <si>
    <t>B0209 VB030 1T 15/10 5*8</t>
    <phoneticPr fontId="1" type="noConversion"/>
  </si>
  <si>
    <t>SO152767C(XY)  JVB060 XY   1CA 16/10  kt</t>
    <phoneticPr fontId="1" type="noConversion"/>
  </si>
  <si>
    <t>B2F010 JVB002  1ca 15/10</t>
    <phoneticPr fontId="1" type="noConversion"/>
  </si>
  <si>
    <t>B2F009 JVB002 1ca 14/10</t>
    <phoneticPr fontId="1" type="noConversion"/>
  </si>
  <si>
    <t>B0279  VB033  2CA 14/10</t>
    <phoneticPr fontId="1" type="noConversion"/>
  </si>
  <si>
    <t>BOC0210  VB005 3.5T 16/10  17*23</t>
    <phoneticPr fontId="1" type="noConversion"/>
  </si>
  <si>
    <t>B0210 VB114  1.5T 15/10  kt</t>
    <phoneticPr fontId="1" type="noConversion"/>
  </si>
  <si>
    <t>SO152767C(XY)  JVB060 SỢI X   1CA 15/10 kt</t>
    <phoneticPr fontId="1" type="noConversion"/>
  </si>
  <si>
    <t>BCR(30)2214(AA)  VB019 1CA 16/10 kt</t>
    <phoneticPr fontId="1" type="noConversion"/>
  </si>
  <si>
    <t>B2367 VB029 1T 19/10</t>
    <phoneticPr fontId="1" type="noConversion"/>
  </si>
  <si>
    <t>BCVC0475  17/3</t>
    <phoneticPr fontId="1" type="noConversion"/>
  </si>
  <si>
    <t>B02B VA109U 15/3</t>
    <phoneticPr fontId="1" type="noConversion"/>
  </si>
  <si>
    <t>B12B VA130</t>
    <phoneticPr fontId="1" type="noConversion"/>
  </si>
  <si>
    <t>BVA04A VA006U  3/4</t>
    <phoneticPr fontId="1" type="noConversion"/>
  </si>
  <si>
    <t>BA37L(U) VA112U 14/3</t>
    <phoneticPr fontId="1" type="noConversion"/>
  </si>
  <si>
    <t>B1004 VA169U  19/3</t>
    <phoneticPr fontId="1" type="noConversion"/>
  </si>
  <si>
    <t>B1124(C60/ETB40) VA004U 15/3</t>
    <phoneticPr fontId="1" type="noConversion"/>
  </si>
  <si>
    <t>B04B(AA) VA008U 27/3</t>
    <phoneticPr fontId="1" type="noConversion"/>
  </si>
  <si>
    <t>B1004(AA) JVA004U 20/3</t>
    <phoneticPr fontId="1" type="noConversion"/>
  </si>
  <si>
    <t>B1069  VA140U  17/3</t>
    <phoneticPr fontId="1" type="noConversion"/>
  </si>
  <si>
    <t>BCVCC02  VA042 18/3</t>
    <phoneticPr fontId="1" type="noConversion"/>
  </si>
  <si>
    <t>B6859 VA005 16/3</t>
    <phoneticPr fontId="1" type="noConversion"/>
  </si>
  <si>
    <t>BCVC02B VA003U  17/3</t>
    <phoneticPr fontId="1" type="noConversion"/>
  </si>
  <si>
    <t>BVA004N VA002U  19/3</t>
    <phoneticPr fontId="1" type="noConversion"/>
  </si>
  <si>
    <t>BVA04A VA006U  2/4</t>
    <phoneticPr fontId="1" type="noConversion"/>
  </si>
  <si>
    <t>B1069 VA142UUA  16/3</t>
    <phoneticPr fontId="1" type="noConversion"/>
  </si>
  <si>
    <t>B0284(OCN) VA007  20/3</t>
    <phoneticPr fontId="1" type="noConversion"/>
  </si>
  <si>
    <t>BSB3839AERT50/C25/R25-BD4-U VA001 STT 15/3</t>
    <phoneticPr fontId="1" type="noConversion"/>
  </si>
  <si>
    <t>SO26095J(U) VA007U  19/3</t>
    <phoneticPr fontId="1" type="noConversion"/>
  </si>
  <si>
    <t>BCVC6859 JVA001 22/3</t>
    <phoneticPr fontId="1" type="noConversion"/>
  </si>
  <si>
    <t>B0878 VA032 18/3</t>
    <phoneticPr fontId="1" type="noConversion"/>
  </si>
  <si>
    <t>BCVC04B VA054 19/3</t>
    <phoneticPr fontId="1" type="noConversion"/>
  </si>
  <si>
    <t>SA162273A(U) VA128 17/3</t>
    <phoneticPr fontId="1" type="noConversion"/>
  </si>
  <si>
    <t>B1062 VA019  20/3</t>
    <phoneticPr fontId="1" type="noConversion"/>
  </si>
  <si>
    <t>BPM1069 VA079   18/3</t>
    <phoneticPr fontId="1" type="noConversion"/>
  </si>
  <si>
    <t>SA191068BBOC-U  JVA009 21/3</t>
    <phoneticPr fontId="1" type="noConversion"/>
  </si>
  <si>
    <t>BMC07 VA020 28/3</t>
    <phoneticPr fontId="1" type="noConversion"/>
  </si>
  <si>
    <t>B0887  JVA021 19/3</t>
    <phoneticPr fontId="1" type="noConversion"/>
  </si>
  <si>
    <t>B02B(C50/R25/ERT25-AA) VA003U . 19/3</t>
    <phoneticPr fontId="1" type="noConversion"/>
  </si>
  <si>
    <t>B1069 VA145 18/3</t>
    <phoneticPr fontId="1" type="noConversion"/>
  </si>
  <si>
    <t>SA192462AU VA005  22/3</t>
    <phoneticPr fontId="1" type="noConversion"/>
  </si>
  <si>
    <t>BTE(50LF)02B(BPM) VA003U  18/3</t>
    <phoneticPr fontId="1" type="noConversion"/>
  </si>
  <si>
    <t>B8211 VA029 20/3</t>
    <phoneticPr fontId="1" type="noConversion"/>
  </si>
  <si>
    <t>BSB3839AERT50/C25/R25-BD4-U VA001 SNEN</t>
    <phoneticPr fontId="1" type="noConversion"/>
  </si>
  <si>
    <t>B1004(C60/ETB40)  3VA006U 21/3</t>
    <phoneticPr fontId="1" type="noConversion"/>
  </si>
  <si>
    <t>B1069 JVA146UUA  19/3</t>
    <phoneticPr fontId="1" type="noConversion"/>
  </si>
  <si>
    <t>BA05  VA021 21/3</t>
    <phoneticPr fontId="1" type="noConversion"/>
  </si>
  <si>
    <t>B8236 JVA007  20/3</t>
    <phoneticPr fontId="1" type="noConversion"/>
  </si>
  <si>
    <t>SA162273A(CVC-U) VA044U 23/3</t>
    <phoneticPr fontId="1" type="noConversion"/>
  </si>
  <si>
    <t>B07B VA113UGEC 19/3</t>
    <phoneticPr fontId="1" type="noConversion"/>
  </si>
  <si>
    <t>BAB037 VA020U S-A 23/3</t>
    <phoneticPr fontId="1" type="noConversion"/>
  </si>
  <si>
    <t>B2652 JVA030U  19/3</t>
    <phoneticPr fontId="1" type="noConversion"/>
  </si>
  <si>
    <t>B02B VA110U 19/3</t>
    <phoneticPr fontId="1" type="noConversion"/>
  </si>
  <si>
    <t>B0423 VA029U  19/3</t>
    <phoneticPr fontId="1" type="noConversion"/>
  </si>
  <si>
    <t>B1068(OCN)  VA005U 20/3</t>
    <phoneticPr fontId="1" type="noConversion"/>
  </si>
  <si>
    <t>B1016  VA035U 20/3</t>
    <phoneticPr fontId="1" type="noConversion"/>
  </si>
  <si>
    <t>SB239264AU VA003UUA 20/3</t>
    <phoneticPr fontId="1" type="noConversion"/>
  </si>
  <si>
    <t>SGR72518A JVA012U 20/3</t>
    <phoneticPr fontId="1" type="noConversion"/>
  </si>
  <si>
    <t>B069(BPM100A) VA001 22/3</t>
    <phoneticPr fontId="1" type="noConversion"/>
  </si>
  <si>
    <t>BM(100)07B(AA) JVA004 1CA 22/3</t>
    <phoneticPr fontId="1" type="noConversion"/>
  </si>
  <si>
    <t>B2652  VA042U   2CA 21/9</t>
    <phoneticPr fontId="1" type="noConversion"/>
  </si>
  <si>
    <t>SO17056F VB015 2ca 16/10 kt</t>
    <phoneticPr fontId="1" type="noConversion"/>
  </si>
  <si>
    <t>B2653 VB008 2CA 16/10 0*3</t>
    <phoneticPr fontId="1" type="noConversion"/>
  </si>
  <si>
    <t>B2F017 JVB002 1ca 15/10 kt</t>
    <phoneticPr fontId="1" type="noConversion"/>
  </si>
  <si>
    <t>B2F012 JVB002  1ca 15/10</t>
    <phoneticPr fontId="1" type="noConversion"/>
  </si>
  <si>
    <t>B2F018 JVB002 1ca 16/10</t>
    <phoneticPr fontId="1" type="noConversion"/>
  </si>
  <si>
    <t>B2F032 JVB002  1ca 17/10</t>
    <phoneticPr fontId="1" type="noConversion"/>
  </si>
  <si>
    <t>SO06093D(BPM20)  VB003 2CA 16/10 2*3</t>
    <phoneticPr fontId="1" type="noConversion"/>
  </si>
  <si>
    <t>B0212 VB045 2CA 17/10</t>
    <phoneticPr fontId="1" type="noConversion"/>
  </si>
  <si>
    <t>B0210(OCR)  VB007 1.5T 17/10  kt</t>
    <phoneticPr fontId="1" type="noConversion"/>
  </si>
  <si>
    <t>B1124(C60/ETB40)  JVA015U  1ca 16/10  kt</t>
    <phoneticPr fontId="1" type="noConversion"/>
  </si>
  <si>
    <t>B1124   VA008 1CA 16/10 kt</t>
    <phoneticPr fontId="1" type="noConversion"/>
  </si>
  <si>
    <t>BSR4051BERT50/C25R25-SD-XY-U TJVA003U XY 1.5T  16/10  6*8</t>
    <phoneticPr fontId="1" type="noConversion"/>
  </si>
  <si>
    <t>B04B JVA092U 12T 20/10</t>
    <phoneticPr fontId="1" type="noConversion"/>
  </si>
  <si>
    <t>B1047P(EA30) VA002U 1T 17/10  0*4</t>
    <phoneticPr fontId="1" type="noConversion"/>
  </si>
  <si>
    <t>B2F020 JVB001 1ca 17/10 kt</t>
    <phoneticPr fontId="1" type="noConversion"/>
  </si>
  <si>
    <t>B1097 VA002U 1T 18/10 4*7</t>
    <phoneticPr fontId="1" type="noConversion"/>
  </si>
  <si>
    <t>SGR72518A VA018U 1CA 20/10</t>
    <phoneticPr fontId="1" type="noConversion"/>
  </si>
  <si>
    <t>BCVC1019  JVA042U 2T 18/10 13*16</t>
    <phoneticPr fontId="1" type="noConversion"/>
  </si>
  <si>
    <t>SA200871AU VA064  7T 18/10 23*28</t>
    <phoneticPr fontId="1" type="noConversion"/>
  </si>
  <si>
    <t>B1019  VA119U 2CA 18/10  0*4</t>
    <phoneticPr fontId="1" type="noConversion"/>
  </si>
  <si>
    <t>SO205078BBM100 VB004  1T 18/10  kt</t>
    <phoneticPr fontId="1" type="noConversion"/>
  </si>
  <si>
    <t>BVA004A JVA013U 15T 20/10</t>
    <phoneticPr fontId="1" type="noConversion"/>
  </si>
  <si>
    <t>BVA004A JVA013U 15T 20/10</t>
    <phoneticPr fontId="1" type="noConversion"/>
  </si>
  <si>
    <t>SA200871AU VA064  7T 17/10 25*28</t>
    <phoneticPr fontId="1" type="noConversion"/>
  </si>
  <si>
    <t>B04B JVA092U 17/10</t>
    <phoneticPr fontId="1" type="noConversion"/>
  </si>
  <si>
    <t>B0279(C60/ETB40)  VB008  1CA 17/10 kt</t>
    <phoneticPr fontId="1" type="noConversion"/>
  </si>
  <si>
    <t>B0210  JVB115  1.5T 18/10  13*16</t>
    <phoneticPr fontId="1" type="noConversion"/>
  </si>
  <si>
    <t>BNC01(BP)  JVB001  1CA 19/10 kt</t>
    <phoneticPr fontId="1" type="noConversion"/>
  </si>
  <si>
    <t>BOC(90)2561  VB017 2CA 17/10  kt</t>
    <phoneticPr fontId="1" type="noConversion"/>
  </si>
  <si>
    <t>B2347 VB067 2T  18/10 kt</t>
    <phoneticPr fontId="1" type="noConversion"/>
  </si>
  <si>
    <t>SA192462AAA-U  JVA012U 1T  19/10 2*8</t>
    <phoneticPr fontId="1" type="noConversion"/>
  </si>
  <si>
    <t>SA200871AU VA064  7T 19/10  KT</t>
    <phoneticPr fontId="1" type="noConversion"/>
  </si>
  <si>
    <t>B2279  VB001 2CA 21/10</t>
    <phoneticPr fontId="1" type="noConversion"/>
  </si>
  <si>
    <t>SA200871ACVC-U VA037U 7T 22/10</t>
    <phoneticPr fontId="1" type="noConversion"/>
  </si>
  <si>
    <t>SO206427I JVB023 2.5T 18/10   kt</t>
    <phoneticPr fontId="1" type="noConversion"/>
  </si>
  <si>
    <t>B2621 VB071 1CA 18/10  kt</t>
    <phoneticPr fontId="1" type="noConversion"/>
  </si>
  <si>
    <t>B0279  VB034 1CA 18/10</t>
    <phoneticPr fontId="1" type="noConversion"/>
  </si>
  <si>
    <t>B3F004 VB002  1CA 18/10 kt</t>
    <phoneticPr fontId="1" type="noConversion"/>
  </si>
  <si>
    <t>B2F019 VB002  1CA 18/10</t>
    <phoneticPr fontId="1" type="noConversion"/>
  </si>
  <si>
    <t>SA19003BOCN10  JVB002 1CA 18/10 kt</t>
    <phoneticPr fontId="1" type="noConversion"/>
  </si>
  <si>
    <t>BCVC2347  JVB035 1CA 18/10 kt</t>
    <phoneticPr fontId="1" type="noConversion"/>
  </si>
  <si>
    <t>SGR82938A(BOC10-U) JVA009U 3.5T 21/10 13*23</t>
    <phoneticPr fontId="1" type="noConversion"/>
  </si>
  <si>
    <t>B04B JVA092U 12T 18/10 kt</t>
    <phoneticPr fontId="1" type="noConversion"/>
  </si>
  <si>
    <t>B06A(FH18)(BOC10) TJVA090U 2T 21/10 7*16</t>
    <phoneticPr fontId="1" type="noConversion"/>
  </si>
  <si>
    <t>B1114  JVA013U  1T 20/10 0*4</t>
    <phoneticPr fontId="1" type="noConversion"/>
  </si>
  <si>
    <t>BPM8847 VA034U 1T 20/10 kt</t>
    <phoneticPr fontId="1" type="noConversion"/>
  </si>
  <si>
    <t>B06A(FH18)(M50/C45/OC5-AA) JVA005 2CA 19/10  0*4</t>
    <phoneticPr fontId="1" type="noConversion"/>
  </si>
  <si>
    <t>BTC04B  VA006U 1CA 20/10</t>
    <phoneticPr fontId="1" type="noConversion"/>
  </si>
  <si>
    <t>BA37L(C60/ERT40-AA-U) TJVA004U   1ca   21/10</t>
    <phoneticPr fontId="1" type="noConversion"/>
  </si>
  <si>
    <t>BCVC1067 VA022 1CA 21/10</t>
    <phoneticPr fontId="1" type="noConversion"/>
  </si>
  <si>
    <t>BUM006AER30-AA  VB026 2CA 21/10</t>
    <phoneticPr fontId="1" type="noConversion"/>
  </si>
  <si>
    <t>BC02 VB077 13T 19/10 kt</t>
    <phoneticPr fontId="1" type="noConversion"/>
  </si>
  <si>
    <t>BC02 VB077 kt</t>
    <phoneticPr fontId="1" type="noConversion"/>
  </si>
  <si>
    <t>BCVC0208 VB040 10T 22/10 kt</t>
    <phoneticPr fontId="1" type="noConversion"/>
  </si>
  <si>
    <t>B0278 VB062 2CA 20/10 kt</t>
    <phoneticPr fontId="1" type="noConversion"/>
  </si>
  <si>
    <t>BSA3871ABPM20 VB018 1CA 20/10 kt</t>
    <phoneticPr fontId="1" type="noConversion"/>
  </si>
  <si>
    <t>B2282(OCR) 3JVB001 2ca 20/10</t>
    <phoneticPr fontId="1" type="noConversion"/>
  </si>
  <si>
    <t>BC02 VB077 13T 20/10 kt</t>
    <phoneticPr fontId="1" type="noConversion"/>
  </si>
  <si>
    <t>BUM006AER30-AA 4T 4/10 kt</t>
    <phoneticPr fontId="1" type="noConversion"/>
  </si>
  <si>
    <t>BCVC2818 VB001 1CA 20/10 kt</t>
    <phoneticPr fontId="1" type="noConversion"/>
  </si>
  <si>
    <t>SGR92083B(CR30-AA)  VB012  1CA 20/10</t>
    <phoneticPr fontId="1" type="noConversion"/>
  </si>
  <si>
    <t>SA219061C  JVB026 2CA 20/10 kt</t>
    <phoneticPr fontId="1" type="noConversion"/>
  </si>
  <si>
    <t>BOC0459H VA004UH  1CA 20/10 kt</t>
    <phoneticPr fontId="1" type="noConversion"/>
  </si>
  <si>
    <t>B1005 VA031   1ca   20/10 kt</t>
    <phoneticPr fontId="1" type="noConversion"/>
  </si>
  <si>
    <t>BUM051AER30-AA-U TVA005U 1.5T 20/10 8*16</t>
    <phoneticPr fontId="1" type="noConversion"/>
  </si>
  <si>
    <t>B1068 VA127U 1T 20/10 kt</t>
    <phoneticPr fontId="1" type="noConversion"/>
  </si>
  <si>
    <t>B1067 VA115 1.5T 20/10 kt</t>
    <phoneticPr fontId="1" type="noConversion"/>
  </si>
  <si>
    <t>B1069 VA182U 1T 20/10 kt</t>
    <phoneticPr fontId="1" type="noConversion"/>
  </si>
  <si>
    <t>BCVC1052 VA003 1CA 20/10  kt</t>
    <phoneticPr fontId="1" type="noConversion"/>
  </si>
  <si>
    <t>BCVC06B VA027 2CA 20/10</t>
    <phoneticPr fontId="1" type="noConversion"/>
  </si>
  <si>
    <t>SO06093D(BPM20) VB004 2CA 20/10 kt</t>
    <phoneticPr fontId="1" type="noConversion"/>
  </si>
  <si>
    <t>SO229159ABM  VB016 2CA 21/10 kt</t>
    <phoneticPr fontId="1" type="noConversion"/>
  </si>
  <si>
    <t>B0221 JVB017  1T 21/10  kt</t>
    <phoneticPr fontId="1" type="noConversion"/>
  </si>
  <si>
    <t>BCVC12B  VA069U 7T 30/10</t>
    <phoneticPr fontId="1" type="noConversion"/>
  </si>
  <si>
    <t>B1004(C60/ETB40) JVA013U 3T 21/10 kt</t>
    <phoneticPr fontId="1" type="noConversion"/>
  </si>
  <si>
    <t>B09B JVA092U  1CA 21/10 kt</t>
    <phoneticPr fontId="1" type="noConversion"/>
  </si>
  <si>
    <t>BTC04B  VA006U 1CA 23/10</t>
    <phoneticPr fontId="1" type="noConversion"/>
  </si>
  <si>
    <t>B1124 VA009U 1CA 23/10</t>
    <phoneticPr fontId="1" type="noConversion"/>
  </si>
  <si>
    <t>SGR92083B JVB113  3T 23/10  21*23</t>
    <phoneticPr fontId="1" type="noConversion"/>
  </si>
  <si>
    <t>B2656 JVB047 2CA 24/10</t>
    <phoneticPr fontId="1" type="noConversion"/>
  </si>
  <si>
    <t>BPM(20)2214  VB014 1T 24/10  kt</t>
    <phoneticPr fontId="1" type="noConversion"/>
  </si>
  <si>
    <t>B2805 VB006 1CA 25/10 KT</t>
    <phoneticPr fontId="1" type="noConversion"/>
  </si>
  <si>
    <t>B1025  VA018U  2CA 23/10  KT</t>
    <phoneticPr fontId="1" type="noConversion"/>
  </si>
  <si>
    <t>BCVC104  VA054  3.5T  22/10 KT</t>
    <phoneticPr fontId="1" type="noConversion"/>
  </si>
  <si>
    <t>BTC1020  VA001U 1CA 24/10 KT</t>
    <phoneticPr fontId="1" type="noConversion"/>
  </si>
  <si>
    <t>B1067 VA117U 2CA 23/10  2*4</t>
    <phoneticPr fontId="1" type="noConversion"/>
  </si>
  <si>
    <t>B1019 VA120U 1T 24/10</t>
    <phoneticPr fontId="1" type="noConversion"/>
  </si>
  <si>
    <t xml:space="preserve">B2347(C60/ETB40)  VB017 1.5T 23/10 </t>
    <phoneticPr fontId="1" type="noConversion"/>
  </si>
  <si>
    <t xml:space="preserve">B2214 VB101 3T 24/10 </t>
    <phoneticPr fontId="1" type="noConversion"/>
  </si>
  <si>
    <t>SO15163A  VB020 1CA 24/10  0*3</t>
    <phoneticPr fontId="1" type="noConversion"/>
  </si>
  <si>
    <t>B2723 VB001 1CA 23/10</t>
    <phoneticPr fontId="1" type="noConversion"/>
  </si>
  <si>
    <t>SO17056F  VB016 1T 23/10</t>
    <phoneticPr fontId="1" type="noConversion"/>
  </si>
  <si>
    <t>SGR92083B VB115 1.5T 24/10  5*8</t>
    <phoneticPr fontId="1" type="noConversion"/>
  </si>
  <si>
    <t>B12B VA139U  11T 24/10 kt</t>
    <phoneticPr fontId="1" type="noConversion"/>
  </si>
  <si>
    <t>BUM009AERC30-AA TJVA003U 9T 24/10 kt</t>
    <phoneticPr fontId="1" type="noConversion"/>
  </si>
  <si>
    <t>BCVC04B JVA074U 1CA 24/10 kt</t>
    <phoneticPr fontId="1" type="noConversion"/>
  </si>
  <si>
    <t>B1004  VA189U 8T 24/10  kt</t>
    <phoneticPr fontId="1" type="noConversion"/>
  </si>
  <si>
    <t>SA162273A(U) VA134U 1CA  24/10 0*4</t>
    <phoneticPr fontId="1" type="noConversion"/>
  </si>
  <si>
    <t>B1005 VA031chạy lại   1ca 24/10 kt</t>
    <phoneticPr fontId="1" type="noConversion"/>
  </si>
  <si>
    <t xml:space="preserve">SO06093D VB0019   3T  24/10  4*5 </t>
    <phoneticPr fontId="1" type="noConversion"/>
  </si>
  <si>
    <t>B1004  VA189U 8T 24/10 kt</t>
    <phoneticPr fontId="1" type="noConversion"/>
  </si>
  <si>
    <t>B0210 VB116 1.5T 25/10  7*8</t>
    <phoneticPr fontId="1" type="noConversion"/>
  </si>
  <si>
    <t>B2653  VB009  1CA 25/10 kt</t>
    <phoneticPr fontId="1" type="noConversion"/>
  </si>
  <si>
    <t>B2621 VB072 1CA 25/10 kt</t>
    <phoneticPr fontId="1" type="noConversion"/>
  </si>
  <si>
    <t>BNC04 VB038 1T 26/10 kt</t>
    <phoneticPr fontId="1" type="noConversion"/>
  </si>
  <si>
    <t>BUM009AERC30-AA TJVA003U 9T 25/10  kt</t>
    <phoneticPr fontId="1" type="noConversion"/>
  </si>
  <si>
    <t>B1004  VA189U 8T 24/10 35*36 kt</t>
    <phoneticPr fontId="1" type="noConversion"/>
  </si>
  <si>
    <t>B1004  VA189U 8T 25/10 27*32 kt</t>
    <phoneticPr fontId="1" type="noConversion"/>
  </si>
  <si>
    <t>B12B VA139U  11T 25/10 kt</t>
    <phoneticPr fontId="1" type="noConversion"/>
  </si>
  <si>
    <t>SA170299A(U) VA134U  1CA 25/10 kt</t>
    <phoneticPr fontId="1" type="noConversion"/>
  </si>
  <si>
    <t>SA249072ABP-U  VA002U  1CA 25/10 kt</t>
    <phoneticPr fontId="1" type="noConversion"/>
  </si>
  <si>
    <t>BCR0208 VB004 1.5T 25/10  kt</t>
    <phoneticPr fontId="1" type="noConversion"/>
  </si>
  <si>
    <t>BA37L(U) JVA142U 1CA 27/10</t>
    <phoneticPr fontId="1" type="noConversion"/>
  </si>
  <si>
    <t>BTC2652(AA) VA001 1CA 27/10</t>
    <phoneticPr fontId="1" type="noConversion"/>
  </si>
  <si>
    <t>BTC12B 3VA050U   2ca  27/10  0*7</t>
    <phoneticPr fontId="1" type="noConversion"/>
  </si>
  <si>
    <t>B1004P(EA30) VA013U 1T 27/10 0*4</t>
    <phoneticPr fontId="1" type="noConversion"/>
  </si>
  <si>
    <t>BA37L(U)  JVA141U  1.5T 27/10 kt</t>
    <phoneticPr fontId="1" type="noConversion"/>
  </si>
  <si>
    <t>B0280 VB036 1.5T 26/10  kt</t>
    <phoneticPr fontId="1" type="noConversion"/>
  </si>
  <si>
    <t>B2874 VB003 1T 26/10 kt</t>
    <phoneticPr fontId="1" type="noConversion"/>
  </si>
  <si>
    <t>SB249207ABP -U  VA001 1CA 27/10</t>
    <phoneticPr fontId="1" type="noConversion"/>
  </si>
  <si>
    <t>B1124 VA010 1CA 29/10</t>
    <phoneticPr fontId="1" type="noConversion"/>
  </si>
  <si>
    <t>B1067 VA118 1CA 29/10</t>
    <phoneticPr fontId="1" type="noConversion"/>
  </si>
  <si>
    <t>B04B JVA094U  20T  21/11</t>
    <phoneticPr fontId="1" type="noConversion"/>
  </si>
  <si>
    <t>B0208C(40/ETB40)  JVB016 1.5T 26/10  4*8</t>
    <phoneticPr fontId="1" type="noConversion"/>
  </si>
  <si>
    <t>BCVC07B VA082U 3T 28/10  22*23</t>
    <phoneticPr fontId="1" type="noConversion"/>
  </si>
  <si>
    <t>BSO4055BERT50/C25/R25-EY-U TJVA004U 1T SỢI X-XY 27/10 kt</t>
    <phoneticPr fontId="1" type="noConversion"/>
  </si>
  <si>
    <t>B1124(C60/ETB40) VA016 1CA 27/10</t>
    <phoneticPr fontId="1" type="noConversion"/>
  </si>
  <si>
    <t>B04B(AA) TJVA093U 12T 27/10 kt</t>
    <phoneticPr fontId="1" type="noConversion"/>
  </si>
  <si>
    <t>`</t>
    <phoneticPr fontId="1" type="noConversion"/>
  </si>
  <si>
    <t>B06A(FH18)(BOC10) VA091U 3T 27/10 kt</t>
    <phoneticPr fontId="1" type="noConversion"/>
  </si>
  <si>
    <t>B06A(FH18)(BOC10) VA091U 3T 28/10 kt</t>
    <phoneticPr fontId="1" type="noConversion"/>
  </si>
  <si>
    <t>B2249(OCN) VB001 1CA 27/10 kt</t>
    <phoneticPr fontId="1" type="noConversion"/>
  </si>
  <si>
    <t>BC03O(CN) VB005 1CA 27/10</t>
    <phoneticPr fontId="1" type="noConversion"/>
  </si>
  <si>
    <t>B2656 VB048 2CA 30/10</t>
    <phoneticPr fontId="1" type="noConversion"/>
  </si>
  <si>
    <t>B2795 VB003 1T 28/10 kt</t>
    <phoneticPr fontId="1" type="noConversion"/>
  </si>
  <si>
    <t>BSA3871ABPM20-RM VB002 1.5T 27/10 11*16</t>
    <phoneticPr fontId="1" type="noConversion"/>
  </si>
  <si>
    <t>SA209082B  JVB034 1.5T  29/10 4*9 kt</t>
    <phoneticPr fontId="1" type="noConversion"/>
  </si>
  <si>
    <t>BN08(TC) VB009 1.5T 29/10 4*8 kt</t>
    <phoneticPr fontId="1" type="noConversion"/>
  </si>
  <si>
    <t>B2366(OCN) VB005 2CA 29/10 kt</t>
    <phoneticPr fontId="1" type="noConversion"/>
  </si>
  <si>
    <t>SO06093D  VB020  1CA 28/10</t>
    <phoneticPr fontId="1" type="noConversion"/>
  </si>
  <si>
    <t>B2782 VB009 1CA 28/10</t>
    <phoneticPr fontId="1" type="noConversion"/>
  </si>
  <si>
    <t>B2366 VB058 1CA 28/10</t>
    <phoneticPr fontId="1" type="noConversion"/>
  </si>
  <si>
    <t>B2F027 VB002 1ca 28/10</t>
    <phoneticPr fontId="1" type="noConversion"/>
  </si>
  <si>
    <t>BM12B VA050U 1.5T 30/10   0*8</t>
    <phoneticPr fontId="1" type="noConversion"/>
  </si>
  <si>
    <t>B1016(C60/ETB40) VA001  1CA29/10</t>
    <phoneticPr fontId="1" type="noConversion"/>
  </si>
  <si>
    <t>BCVC04B  VA073  1CA  28/10</t>
    <phoneticPr fontId="1" type="noConversion"/>
  </si>
  <si>
    <t>BM(50)07B(AA)  VA001 1CA 1/11</t>
    <phoneticPr fontId="1" type="noConversion"/>
  </si>
  <si>
    <t>B09B VA093U 6T 10/11</t>
    <phoneticPr fontId="1" type="noConversion"/>
  </si>
  <si>
    <t>BC04 VB053 12T 31/10</t>
    <phoneticPr fontId="1" type="noConversion"/>
  </si>
  <si>
    <t>SA19045ACVC-U  VA002  1CA 2/11 kt</t>
    <phoneticPr fontId="1" type="noConversion"/>
  </si>
  <si>
    <t>BTCC02 VB036 3T 30/10  22*23</t>
    <phoneticPr fontId="1" type="noConversion"/>
  </si>
  <si>
    <t>B2367 VB030  1.5T 30/10  KT</t>
    <phoneticPr fontId="1" type="noConversion"/>
  </si>
  <si>
    <t>BM0208  VB026 3T 30/10 16*16+0*3</t>
    <phoneticPr fontId="1" type="noConversion"/>
  </si>
  <si>
    <t>BC04 VB053 12T 31/10</t>
    <phoneticPr fontId="1" type="noConversion"/>
  </si>
  <si>
    <t xml:space="preserve">B04B  VA094U-A </t>
    <phoneticPr fontId="1" type="noConversion"/>
  </si>
  <si>
    <t>BM02B  VA007  2CA 1/11</t>
    <phoneticPr fontId="1" type="noConversion"/>
  </si>
  <si>
    <t>BAB073-RM VB001 SỢI B 1.5T 2/11  7*16</t>
    <phoneticPr fontId="1" type="noConversion"/>
  </si>
  <si>
    <t>B2212 VB059 3T 30/10  kt</t>
    <phoneticPr fontId="1" type="noConversion"/>
  </si>
  <si>
    <t>BTM(70)2789  JVB001  1CA 30/10  kt</t>
    <phoneticPr fontId="1" type="noConversion"/>
  </si>
  <si>
    <t>B2785(C60/ETB40)  VB001 2CA 30/10</t>
    <phoneticPr fontId="1" type="noConversion"/>
  </si>
  <si>
    <t>BCVC2785  VB001 1CA 31/10  kt</t>
    <phoneticPr fontId="1" type="noConversion"/>
  </si>
  <si>
    <t>BPM2214 VB005 1CA 30/10</t>
    <phoneticPr fontId="1" type="noConversion"/>
  </si>
  <si>
    <t>BC03(C60/ERT40) JVB002 2CA 30/10</t>
    <phoneticPr fontId="1" type="noConversion"/>
  </si>
  <si>
    <t>BR2347 VB001 1CA  1/11</t>
    <phoneticPr fontId="1" type="noConversion"/>
  </si>
  <si>
    <t>BA37L(AA-U) VA005 2CA  kt</t>
    <phoneticPr fontId="1" type="noConversion"/>
  </si>
  <si>
    <t>B1029 VA028U 1CA 1/11</t>
    <phoneticPr fontId="1" type="noConversion"/>
  </si>
  <si>
    <t xml:space="preserve">B8224 VA030U 2CA 1/11 kt </t>
    <phoneticPr fontId="1" type="noConversion"/>
  </si>
  <si>
    <t>BPM1069 VA088 1CA 4/11</t>
    <phoneticPr fontId="1" type="noConversion"/>
  </si>
  <si>
    <t>BPM1004 JVA011U 1CA 5/11</t>
    <phoneticPr fontId="1" type="noConversion"/>
  </si>
  <si>
    <t>BC04 VB053 12T 6/11 kt</t>
    <phoneticPr fontId="1" type="noConversion"/>
  </si>
  <si>
    <t>B2621 VB073 1CA 1/11 kt</t>
    <phoneticPr fontId="1" type="noConversion"/>
  </si>
  <si>
    <t>BCVC0285 VB017 1T 1/11  0*8 kt</t>
    <phoneticPr fontId="1" type="noConversion"/>
  </si>
  <si>
    <t>BTM(70)2201 VB001 1CA 2/11 kt</t>
    <phoneticPr fontId="1" type="noConversion"/>
  </si>
  <si>
    <t>BM(100M)04B(AA)  VA011U 5T 3/11  29*34</t>
    <phoneticPr fontId="1" type="noConversion"/>
  </si>
  <si>
    <t>B1069 VA183U 1CA 2/11  1*3</t>
    <phoneticPr fontId="1" type="noConversion"/>
  </si>
  <si>
    <t>BSR4051BERT50/C25R25-SD-XY-U  VA004U SỢI X    2CA 31/10  kt</t>
    <phoneticPr fontId="1" type="noConversion"/>
  </si>
  <si>
    <t>BSR4051BERT50/C25R25-SD-XY-U  VA004U  -XY 2CA 1/11  0*4</t>
    <phoneticPr fontId="1" type="noConversion"/>
  </si>
  <si>
    <t>BM(100)1044  VA001  1CA 6/11</t>
    <phoneticPr fontId="1" type="noConversion"/>
  </si>
  <si>
    <t xml:space="preserve">BC03 VB060 chay truoc 438.85LB -  chay het con lai 10T 3/11 </t>
    <phoneticPr fontId="1" type="noConversion"/>
  </si>
  <si>
    <t>BC04 VB053 12T 1/11</t>
    <phoneticPr fontId="1" type="noConversion"/>
  </si>
  <si>
    <t>1-8#</t>
    <phoneticPr fontId="1" type="noConversion"/>
  </si>
  <si>
    <t>1-9#</t>
    <phoneticPr fontId="1" type="noConversion"/>
  </si>
  <si>
    <t>1-10#</t>
    <phoneticPr fontId="1" type="noConversion"/>
  </si>
  <si>
    <t>1-11#</t>
    <phoneticPr fontId="1" type="noConversion"/>
  </si>
  <si>
    <t>1-12#</t>
    <phoneticPr fontId="1" type="noConversion"/>
  </si>
  <si>
    <t>1-13#</t>
    <phoneticPr fontId="1" type="noConversion"/>
  </si>
  <si>
    <t>1-14#</t>
    <phoneticPr fontId="1" type="noConversion"/>
  </si>
  <si>
    <t>B04B VA094-A</t>
    <phoneticPr fontId="1" type="noConversion"/>
  </si>
  <si>
    <t>B07B(C60/ETB40)  VA001U  10/11</t>
    <phoneticPr fontId="1" type="noConversion"/>
  </si>
  <si>
    <t>B09B(C60/ETB40) VA017 1T 4/11</t>
    <phoneticPr fontId="1" type="noConversion"/>
  </si>
  <si>
    <t>B2347 VB068 1.5T 2/11 10*16  kt</t>
    <phoneticPr fontId="1" type="noConversion"/>
  </si>
  <si>
    <t>B2214 VB102 1T 4/11 kt</t>
    <phoneticPr fontId="1" type="noConversion"/>
  </si>
  <si>
    <t>B2282 VB030 1CA  2/11 kt</t>
    <phoneticPr fontId="1" type="noConversion"/>
  </si>
  <si>
    <t>BAB073-RM VB001 SỢI A 1.5T 1/11 15*16 kt</t>
    <phoneticPr fontId="1" type="noConversion"/>
  </si>
  <si>
    <t>BTC0285 VB019 2CA 2/11 kt</t>
    <phoneticPr fontId="1" type="noConversion"/>
  </si>
  <si>
    <t>BCR(30)2214(AA) VB020 2CA 2/11 1*3</t>
    <phoneticPr fontId="1" type="noConversion"/>
  </si>
  <si>
    <t>B1114  VA014 1CA 2/11 kt</t>
    <phoneticPr fontId="1" type="noConversion"/>
  </si>
  <si>
    <t>B1004(C60/ETB40)  VA014 5T 5/11 12*31</t>
    <phoneticPr fontId="1" type="noConversion"/>
  </si>
  <si>
    <t>BCVC(40ETB)104 VA044U 3T 5/11 6*23</t>
    <phoneticPr fontId="1" type="noConversion"/>
  </si>
  <si>
    <t>SA249072ABP-U  VA003U  2CA 7/11  0*4</t>
    <phoneticPr fontId="1" type="noConversion"/>
  </si>
  <si>
    <t>B2657 JVB016 1CA 4/11</t>
    <phoneticPr fontId="1" type="noConversion"/>
  </si>
  <si>
    <t>B3404 VB002 1CA 4/11</t>
    <phoneticPr fontId="1" type="noConversion"/>
  </si>
  <si>
    <t>BA37L(U)  JVA143U 1CA 5/11</t>
    <phoneticPr fontId="1" type="noConversion"/>
  </si>
  <si>
    <t>SA170299A(U)  VA032 2CA 6/11</t>
    <phoneticPr fontId="1" type="noConversion"/>
  </si>
  <si>
    <t>SO05106I(AA) JVB01U   1CA 3/11</t>
    <phoneticPr fontId="1" type="noConversion"/>
  </si>
  <si>
    <t>BM(100M)0285 VB001 1CA 3/11</t>
    <phoneticPr fontId="1" type="noConversion"/>
  </si>
  <si>
    <t>B0216(OCN)  VB001  1CA 5/11</t>
    <phoneticPr fontId="1" type="noConversion"/>
  </si>
  <si>
    <t>B06G(FH18)(BOC20-AA) TJVB010Y 11T 8/11</t>
    <phoneticPr fontId="1" type="noConversion"/>
  </si>
  <si>
    <t>B1004  VA190U 7T 5/11</t>
    <phoneticPr fontId="1" type="noConversion"/>
  </si>
  <si>
    <t xml:space="preserve">BM(100)1016  VB001  1CA </t>
    <phoneticPr fontId="1" type="noConversion"/>
  </si>
  <si>
    <t>B06A(FH18)(M50/C45/OC5-AA) TJVA006U 1T 5/11</t>
    <phoneticPr fontId="1" type="noConversion"/>
  </si>
  <si>
    <t>B0278  VB063 9T 4/11  KT</t>
    <phoneticPr fontId="1" type="noConversion"/>
  </si>
  <si>
    <t>B0210(OCR) VB008  4T 7/11 29*31+3</t>
    <phoneticPr fontId="1" type="noConversion"/>
  </si>
  <si>
    <t>BFC08-128 VB002 SỢI X 1T 5/11  KT</t>
    <phoneticPr fontId="1" type="noConversion"/>
  </si>
  <si>
    <t>SO206427I  JVB024 1T 5/11 KT</t>
    <phoneticPr fontId="1" type="noConversion"/>
  </si>
  <si>
    <t>B06G(FH18)(BOC20-AA) TJVB010Y 11T 4/11 KT</t>
    <phoneticPr fontId="1" type="noConversion"/>
  </si>
  <si>
    <t>BM(100M)2781  VB002  2CA 7/11</t>
    <phoneticPr fontId="1" type="noConversion"/>
  </si>
  <si>
    <t>B09B(C60/ETB40) VA017 2CA 8/11  0*7</t>
    <phoneticPr fontId="1" type="noConversion"/>
  </si>
  <si>
    <t>B1020 VA052U  7T 10/11  21*26</t>
    <phoneticPr fontId="1" type="noConversion"/>
  </si>
  <si>
    <t>B1020 VA052U  7T 10/11  22*23</t>
    <phoneticPr fontId="1" type="noConversion"/>
  </si>
  <si>
    <t>B1004  VA190U 7T 5/11 KT</t>
    <phoneticPr fontId="1" type="noConversion"/>
  </si>
  <si>
    <t>B2652  JVA046U  1CA 6/11  KT</t>
    <phoneticPr fontId="1" type="noConversion"/>
  </si>
  <si>
    <t>BSB4041AERT50/C25/R25-EY-U VA004 SỢI X-XY 7/11  KT</t>
    <phoneticPr fontId="1" type="noConversion"/>
  </si>
  <si>
    <t>SGR82938A(BOC10-U)  JVA010U 2CA  KT</t>
    <phoneticPr fontId="1" type="noConversion"/>
  </si>
  <si>
    <t>B1004  VA191U  1CA  7/11</t>
    <phoneticPr fontId="1" type="noConversion"/>
  </si>
  <si>
    <t xml:space="preserve">B1029P(EA20) VA015U 2CA </t>
    <phoneticPr fontId="1" type="noConversion"/>
  </si>
  <si>
    <t>B04B  VA094U-B</t>
    <phoneticPr fontId="1" type="noConversion"/>
  </si>
  <si>
    <t>BC04  VB054 1CA 6/11 kt</t>
    <phoneticPr fontId="1" type="noConversion"/>
  </si>
  <si>
    <t>BCVC0281(BPM)  VB006 1T  0*8 6/11 kt</t>
    <phoneticPr fontId="1" type="noConversion"/>
  </si>
  <si>
    <t>BAB033  VA001  SỢI A - SỢI B  1CA 6/11  kt</t>
    <phoneticPr fontId="1" type="noConversion"/>
  </si>
  <si>
    <t>B03D TJVB010 2T 4/8 （1*8</t>
  </si>
  <si>
    <t>BUM006AER30-AA VB021 16T 15/8 少数</t>
  </si>
  <si>
    <r>
      <t>BCVC(40ETB)104 JVA043U 22*</t>
    </r>
    <r>
      <rPr>
        <sz val="13"/>
        <color rgb="FFFF0000"/>
        <rFont val="Times New Roman"/>
        <family val="1"/>
      </rPr>
      <t>26 búp</t>
    </r>
    <r>
      <rPr>
        <sz val="13"/>
        <color theme="1"/>
        <rFont val="Times New Roman"/>
        <family val="1"/>
      </rPr>
      <t xml:space="preserve"> 20/10</t>
    </r>
  </si>
  <si>
    <r>
      <t xml:space="preserve">BCVC(40ETB)104 JVA043U  </t>
    </r>
    <r>
      <rPr>
        <sz val="13"/>
        <color rgb="FFFF0000"/>
        <rFont val="Times New Roman"/>
        <family val="1"/>
      </rPr>
      <t>18 búp</t>
    </r>
    <r>
      <rPr>
        <sz val="13"/>
        <color theme="1"/>
        <rFont val="Times New Roman"/>
        <family val="1"/>
      </rPr>
      <t xml:space="preserve"> 19/10 11*18</t>
    </r>
  </si>
  <si>
    <r>
      <t>B14B(OCN)  VB003U  1.5T 27/10</t>
    </r>
    <r>
      <rPr>
        <sz val="13"/>
        <color rgb="FFFF0000"/>
        <rFont val="Times New Roman"/>
        <family val="1"/>
      </rPr>
      <t xml:space="preserve">  4 búp kt</t>
    </r>
  </si>
  <si>
    <t>B09B VA094U 1T 10/11</t>
  </si>
  <si>
    <t>B09B VA093 9/11</t>
  </si>
  <si>
    <t>BVA004A  VA014  9/11</t>
  </si>
  <si>
    <t>BVA004A  VA014 10/11</t>
  </si>
  <si>
    <t>BCR0208 VB005 1T  7/11  1*8  kt</t>
  </si>
  <si>
    <t>B2347(C60/ETB40) VB018  1CA 7/11 kt</t>
  </si>
  <si>
    <t>B1115 VA009 1T 7/11 0*7  kt</t>
  </si>
  <si>
    <t>BCVC11B  VA125U 3T 10/11  7*16</t>
  </si>
  <si>
    <t>BM1034 VA002U  2T 8/11  12*16  kt</t>
  </si>
  <si>
    <t>B1067  VA119 2T 8/11 9*13</t>
  </si>
  <si>
    <t>BM12B VA051U  2CA 7/11 0*7  kt</t>
  </si>
  <si>
    <t>SGR92083B(CR30-AA)  VB013  1CA 9/11</t>
  </si>
  <si>
    <t>B2874 VB004  2CA 7/11  2*3  KT</t>
  </si>
  <si>
    <t>SA229232AC50/ERT50-EY-U VA002 SỢI X - XY  2CA 8/11</t>
  </si>
  <si>
    <t>B1019(OCR) VA002U 1CA 9/11</t>
  </si>
  <si>
    <t>B07B(C60/ETB40)  VA001U  6T 6/11</t>
  </si>
  <si>
    <t>B1067-OE VA120 4T  10/11</t>
  </si>
  <si>
    <t>B04B VA094-B</t>
  </si>
  <si>
    <t>B1067 VA119 3T 7/11</t>
  </si>
  <si>
    <t>1-7#</t>
  </si>
  <si>
    <t>1-6#</t>
  </si>
  <si>
    <t>1-5#</t>
  </si>
  <si>
    <t>BFC06-54 VB001 1CA 8/11  kt</t>
  </si>
  <si>
    <t>BUM006AER30-AA VB027 1CA 8/11 kt</t>
  </si>
  <si>
    <t>BM(50)10 VB014 1CA 9/11  0*3</t>
  </si>
  <si>
    <t>BCVC2621 VB005 1CA 8/11  0*3</t>
  </si>
  <si>
    <t>BA37L(C60/ERT40-AA-U) TJVA005U  2CA 8/11  1*4</t>
  </si>
  <si>
    <t>SA192462AAA-U  JVA013U 2CA 8/11 kt</t>
  </si>
  <si>
    <t>B07B VA122U  kt</t>
  </si>
  <si>
    <t>SA192462AAA-U VA013 2CA 8/11 kt</t>
  </si>
  <si>
    <t>BOC(90)C02 VB030  2CA 11/11</t>
  </si>
  <si>
    <t>B0208 VB060 3.5T 9/11  21*23</t>
  </si>
  <si>
    <t>SO241260A  VB004 2CA 10/11 kt</t>
  </si>
  <si>
    <t>B2NA009  VB001 SỢI X 1CA 9/11  kt</t>
  </si>
  <si>
    <t>B2797(C60/ETB40)  VB001  1CA 10/11  kt</t>
  </si>
  <si>
    <t>BM0210 VB006 2CA 10/11 kt</t>
  </si>
  <si>
    <t>BCVC2621 VB005  10/11</t>
  </si>
  <si>
    <t>BM0284 VA016 1T 9/11 0*7 kt</t>
  </si>
  <si>
    <t>BSB4041AERT50/C25/R25-EY-U JVA005U SỢI X 2CA 9/11  0*2</t>
  </si>
  <si>
    <t>BCVC12B  JVA070U  7T 13/11</t>
  </si>
  <si>
    <t>SA249072ABP-AA-U  JVA004U 1CA 9/11  kt</t>
  </si>
  <si>
    <t>BCR2401  VB001  1CA 10/11</t>
  </si>
  <si>
    <t>SO27089A  VB005  2CA 11/11</t>
  </si>
  <si>
    <t>BSC04  VB055  1CA 10/11</t>
  </si>
  <si>
    <t>B2621  VB074 1CA 11/11</t>
  </si>
  <si>
    <t>`</t>
  </si>
  <si>
    <t>SGR82938A(BOC10-U)  VA011U 1T 13/11</t>
  </si>
  <si>
    <t>B2207 VB013 1.5T 11/11  2*8  kt</t>
  </si>
  <si>
    <t>B2NA009  VB001 XY   1CA 12/11 kt</t>
  </si>
  <si>
    <t>SO15163A VB021  1CA 12/11  kt</t>
  </si>
  <si>
    <t>BVA004I  VA008U 1CA 13/11 kt</t>
  </si>
  <si>
    <t>B1124V(EA20)  VA004U  2T 11/11  7*16 kt</t>
  </si>
  <si>
    <t>B1067(OCN)  JVA010U 2.5T 11/11 5*16  kt</t>
  </si>
  <si>
    <t>B06A(FH18)(BOC20-AA) TJVA017U 7T 10/11  kt</t>
  </si>
  <si>
    <t>BSB4041AERT50/C25/R25-EY-U JVA005U XY 3T 14/11  kt</t>
  </si>
  <si>
    <t xml:space="preserve">B1020 VA052U-A 9/11  18*23  kt </t>
  </si>
  <si>
    <t>B1020 VA052U-A 9/11  25*26  kt</t>
  </si>
  <si>
    <t>B0210 VB118 3T  11/11  21*23</t>
  </si>
  <si>
    <t>B2656  VB049  2CA 14/11</t>
  </si>
  <si>
    <t>B0208C(40/ETB40)  JVB017 1.5T 12/11  4*8</t>
  </si>
  <si>
    <t>B04B  VA094U-B</t>
  </si>
  <si>
    <t>B04B  VA094U-C</t>
  </si>
  <si>
    <t>BA37L(CR20-AA-U)  VA007U  1CA 13/11</t>
  </si>
  <si>
    <t>B2874 VB005 1CA  13/11</t>
  </si>
  <si>
    <t>B0209  VB031  1CA  14/11</t>
  </si>
  <si>
    <t>BCVC0208  VB041 9T 27/11</t>
  </si>
  <si>
    <t>B1124(C60/ETB40) va017 1T 13/11</t>
  </si>
  <si>
    <t>B12B VA140U 4T 12/11</t>
  </si>
  <si>
    <t>BCVC12B VA070 8T 11/11  kt</t>
  </si>
  <si>
    <t>B09B(C60/ETB40) VB018 1T 16/11</t>
  </si>
  <si>
    <t>B12B VA140U 4T 13/11  21*31 kt</t>
  </si>
  <si>
    <t>SA170299A(U) JVA033U  1CA 14/11 kt</t>
  </si>
  <si>
    <t>BCVC(40ETB)104  VA045U  1CA 12/11 kt</t>
  </si>
  <si>
    <t>B1069(OC80/ERT20-AA) JVA001U  4T  13/11  19*23</t>
  </si>
  <si>
    <t>B0281  VB063  2CA 12/11 2*3</t>
  </si>
  <si>
    <t>SO15163A(BPM20)  VB007  1CA 11/11</t>
  </si>
  <si>
    <t>B2796 VB021UA 2CA 13/11</t>
  </si>
  <si>
    <t>BAB073 VB028 SỢI B 1CA 12/11 kt</t>
  </si>
  <si>
    <t>SGR92083B(AA)  JVB119  1CA 13/11 kt</t>
  </si>
  <si>
    <t>BAB073 VB028 SỢI A 1CA 13/11 kt</t>
  </si>
  <si>
    <t>B2207(C60/ETB40)  VB006  5T 12/11` 29*31</t>
  </si>
  <si>
    <t xml:space="preserve">BNC04C VB039 11T 12/11  </t>
  </si>
  <si>
    <t>B04B  VA094U-B 14/11</t>
  </si>
  <si>
    <t>B1124 VA011  1CA 14/11</t>
  </si>
  <si>
    <t>B1068 VA128U 1CA 11/11</t>
  </si>
  <si>
    <t>B1067 VA122U 1T 13/11</t>
  </si>
  <si>
    <t>B02B VA125U 1CA 26/11</t>
  </si>
  <si>
    <t>SGR92083B  VB117  2T 14/11  13*16</t>
  </si>
  <si>
    <t>B0208(GC100)  VB001  2CA 16/11 kt</t>
  </si>
  <si>
    <t>BNC01 VB040 12T 22/11 kt</t>
  </si>
  <si>
    <t>BCR(30)2214(AA)  JVB021 1CA 12/11 kt</t>
  </si>
  <si>
    <t>BC03(C60/ERT40) VB003 2CA 15/11  0*8</t>
  </si>
  <si>
    <t>BTC2401  VB005  1T 13/11  1*8 kt</t>
  </si>
  <si>
    <t>B2387 VB001 1CA  13/11  0*4 kt</t>
  </si>
  <si>
    <t>B1068 VA128U 1CA   13/11  0*4</t>
  </si>
  <si>
    <t>B07B VA122U  3*8 kt</t>
  </si>
  <si>
    <t>B1124V(EA30) VA003U 2CA 14/11  0*4</t>
  </si>
  <si>
    <t>B1124(C60/ETB40) va017 1T 13/11  1*4 kt</t>
  </si>
  <si>
    <t>B1067 VA122U 1T 13/11   5*7</t>
  </si>
  <si>
    <t xml:space="preserve">BSB3839AERT50/C25/R25-BD4-U TJVA002U STT- S. NỀN 2CA 14/11 4*4+3*4 </t>
  </si>
  <si>
    <t>B09B VA095 7T 16/11</t>
  </si>
  <si>
    <t>B09B(C60/ETB40) VB018 1T 15/11</t>
  </si>
  <si>
    <t>B1067-OE VA123  1T 26/11</t>
  </si>
  <si>
    <t>BCR2401  VB001-A  1CA  14/11 kt</t>
  </si>
  <si>
    <t>SO249393BBPM  VB001 1CA 16/11 kt</t>
  </si>
  <si>
    <t>BTC0285  VB020 1T 14/11  0*3 kt</t>
  </si>
  <si>
    <t>B1029P(EA30) VA0016U 2CA 17/11 kt</t>
  </si>
  <si>
    <t>B1004 VA192U 1.5T 15/11  9*16 KT</t>
  </si>
  <si>
    <t>BA37L(U) VA144U 2T 15/11  10*16</t>
  </si>
  <si>
    <t>B1114 VA015 1CA 14/11  KT</t>
  </si>
  <si>
    <t>B1067  VA121U  1T 15/11  2*7</t>
  </si>
  <si>
    <t>B0213 VB023  2CA 13/11 KT</t>
  </si>
  <si>
    <t>B2366(OCN) VB006 1CA 15/11</t>
  </si>
  <si>
    <t>B02B VA125U 1CA 15/11</t>
  </si>
  <si>
    <t>B0208  VB061  0*1 14/11 kt</t>
  </si>
  <si>
    <t>BM0208  VB028 2CA 16/11</t>
  </si>
  <si>
    <t>B09B  VA095U 7T 16/11</t>
  </si>
  <si>
    <t>B1019 VA121U 3T 20/11</t>
  </si>
  <si>
    <t>BC02  VB083 15/11 kt</t>
  </si>
  <si>
    <t>B0213 VB023  bù 50LB 15/11 kt</t>
  </si>
  <si>
    <t>B2214 VB103 1T 15/11 6*8</t>
  </si>
  <si>
    <t>B05 VB065  4T 15/11  kt</t>
  </si>
  <si>
    <t>SO249394AC60/RE40  JVB001 1CA 15/11  kt</t>
  </si>
  <si>
    <t>B0213(C60/ETB40)  VB005  1CA 17/11 kt</t>
  </si>
  <si>
    <t>B1019 VA121U 3T 20/11 kt</t>
  </si>
  <si>
    <t>BA37L(U) VA145U 1T 17/11  1*7</t>
  </si>
  <si>
    <t>BCVC1019  JVA04U  2T 17/11  8*16</t>
  </si>
  <si>
    <t>BCVC(40ETB)104  VA046U 1CA 19/11</t>
  </si>
  <si>
    <t>B04B VA094-C KT</t>
  </si>
  <si>
    <t>B12B VA141U 2T 18/11</t>
  </si>
  <si>
    <t>B09B VA096 5T 1/12</t>
  </si>
  <si>
    <t>BCVC1019  JVA043U  2T 15/11 KT</t>
  </si>
  <si>
    <t>B04B  VA094U-C  kt</t>
  </si>
  <si>
    <t>BM1034  VA003U  1CA 17/11  0*4</t>
  </si>
  <si>
    <t>B12B  VA141U 3T 18/11  9*16</t>
  </si>
  <si>
    <t>B0279 VB035 1.5T  15/11  3*8 kt</t>
  </si>
  <si>
    <t>SO229159ABM  JVB017US 2T 17/11  8*16 kt</t>
  </si>
  <si>
    <t>BCVC2347 VB036 1CA 16/11 kt</t>
  </si>
  <si>
    <t>BM0208 VB027 5T 16/11  24*31  kt</t>
  </si>
  <si>
    <t>B04B VA096UUS  2CA 17/11</t>
  </si>
  <si>
    <t>SGR92083B(BPM20) TJVB020  2CA 16/11 7*8</t>
  </si>
  <si>
    <t>SO202477E JVB017 1CA 17/11</t>
  </si>
  <si>
    <t>B2798 VB012US 1CA 17/11</t>
  </si>
  <si>
    <t>B0281  VB064  1CA 18/11</t>
  </si>
  <si>
    <t>BTC0209  VB003 1CA18/11</t>
  </si>
  <si>
    <t>BC02  VB083 16/11 KT</t>
  </si>
  <si>
    <t>SA215376B  VB020  1CA 18/11 KT</t>
  </si>
  <si>
    <t>B1NP012(C60/ETB40)  VB001 1CA 17/11 KT</t>
  </si>
  <si>
    <t>B0208  VB061 1T 18/11 KT</t>
  </si>
  <si>
    <t>BCR0208 VB006  2CA 17/11 KT</t>
  </si>
  <si>
    <t>B2659A VB001  1CA 19/11</t>
  </si>
  <si>
    <t>B0285  VB020  1CA 20/11</t>
  </si>
  <si>
    <t>BOC1069  JVA010U 5T 17/11  26*31 KT</t>
  </si>
  <si>
    <t>B04B(AA)  VA095  3T 17/11  16*23 KT</t>
  </si>
  <si>
    <t>B1004(C60/ETB40)  VA015 3T 19/11 9*23 KT</t>
  </si>
  <si>
    <t>B12B(OCN) VA002  1CA 18/11  KT</t>
  </si>
  <si>
    <t>BVA004A VA015U 1.5T 17/11 0*7 KT</t>
  </si>
  <si>
    <t xml:space="preserve">BAB073(OCR)  VB001 SỢI B 1CA 19/11 </t>
  </si>
  <si>
    <t>B0279  VB036  1CA 20/11</t>
  </si>
  <si>
    <t>BM(70M)1068(BPM) JVA004UM 1ca 20/11</t>
  </si>
  <si>
    <r>
      <t xml:space="preserve">B1004 VA193U  22* </t>
    </r>
    <r>
      <rPr>
        <sz val="13"/>
        <color rgb="FFFF0000"/>
        <rFont val="Times New Roman"/>
        <family val="1"/>
      </rPr>
      <t>28.5 BÚP</t>
    </r>
    <r>
      <rPr>
        <sz val="13"/>
        <color theme="1"/>
        <rFont val="Times New Roman"/>
        <family val="1"/>
      </rPr>
      <t xml:space="preserve"> 23/11 kt</t>
    </r>
  </si>
  <si>
    <r>
      <t>B1004 VA193U  21*</t>
    </r>
    <r>
      <rPr>
        <sz val="13"/>
        <color rgb="FFFF0000"/>
        <rFont val="Times New Roman"/>
        <family val="1"/>
      </rPr>
      <t>26 BÚP</t>
    </r>
    <r>
      <rPr>
        <sz val="13"/>
        <color theme="1"/>
        <rFont val="Times New Roman"/>
        <family val="1"/>
      </rPr>
      <t xml:space="preserve"> 23/11kt</t>
    </r>
  </si>
  <si>
    <t>BTC12B  JVA051U 1T 19/11  5*7 KT</t>
  </si>
  <si>
    <t>B1019 VA121U 3T 19/11 12*16  KT</t>
  </si>
  <si>
    <t>B06A(FH18)(T65/TE35-AA) TJVA007U 6T 19/11 KT</t>
  </si>
  <si>
    <t>B2653 VB010 2CA 20/11 KT</t>
  </si>
  <si>
    <t>B2572  VB001  2CA 21/11 KT</t>
  </si>
  <si>
    <t>B2214 VB104  3T 20/11 6*16 KT</t>
  </si>
  <si>
    <t>BPM0210  VB028 2CA 19/11  0*3 KT</t>
  </si>
  <si>
    <t>B0212  VB046  20/11 0*8 KT</t>
  </si>
  <si>
    <t>SA219061C  VB027  2CA 20/11 KT</t>
  </si>
  <si>
    <t>B0284  VA017  1CA 20/11</t>
  </si>
  <si>
    <t>B11B VA087U 1.5T  19/11 kt</t>
  </si>
  <si>
    <t>B2366 VB059  2CA 22/11</t>
  </si>
  <si>
    <t>SA162273A(U)  3JVA135U  1ca 21/11 KT</t>
  </si>
  <si>
    <t>B12B(ETB65/R35)  JVA001U  1CA 23/11 KT</t>
  </si>
  <si>
    <t>B11B VA087U 1.5T 20/11  6*10 KT</t>
  </si>
  <si>
    <t>BA37L(OCN-U) VA003U  2T 21/11  11*16</t>
  </si>
  <si>
    <t>B1124(C60/ETB40) va018 1CA 22/11</t>
  </si>
  <si>
    <t>B2782(OCN)  VB002  2CA 19/11 0*3 KT</t>
  </si>
  <si>
    <t>B2781 VB023  1CA 20/11 KT</t>
  </si>
  <si>
    <t>B2347 VB069  1.5T  21/11  0*8 KT</t>
  </si>
  <si>
    <t>BAB073(OCR)  VB001 SỢI A 1CA 20/11 2*3 KT</t>
  </si>
  <si>
    <t>BPM(20)2621  VB001  1CA 21/11</t>
  </si>
  <si>
    <t>B2798  VB013UA 1T 22/11  kt</t>
  </si>
  <si>
    <t>B2347(C60/ETB40) VB019  1CA 22/11 kt</t>
  </si>
  <si>
    <t>BNC04C(CVC) VB019 15T 25/11 kt</t>
  </si>
  <si>
    <t>BNC04C(CVC) VB019 15T 25/11 kt 10</t>
  </si>
  <si>
    <t>SA191068BU VA022  1T 22/11  3*7</t>
  </si>
  <si>
    <t>BA37L(U) VA146 2CA 21/11  3*4</t>
  </si>
  <si>
    <t>BCVC104  VA056  1CA 22/11</t>
  </si>
  <si>
    <t>B09B VA096 5T 1/12 KT</t>
  </si>
  <si>
    <t>B2652 VA047U  1T 1/12 21/11 KT</t>
  </si>
  <si>
    <t>B06G(FH18)(BOC20-AA) TJVB011Y 16T 14/12</t>
  </si>
  <si>
    <t>B0208(C60/ETB40)  JVB018 3T 21/11  21*23</t>
  </si>
  <si>
    <t>BN08(TC) VB010 1T 26/11</t>
  </si>
  <si>
    <t>BSB3839AERT50/C25/R25-BD4-U TJVA003U STT ca1 21/11 KT</t>
  </si>
  <si>
    <t>BVA004E JVA010 1CA 22/11</t>
  </si>
  <si>
    <t>BN091AC54/ERN20/ERT20/OC6-U TVA012 8T 25/11</t>
  </si>
  <si>
    <t>SO41269A(U)  VA037U 3T 22/11 SỢI A  5*6</t>
  </si>
  <si>
    <t>BSB3839AERT50/C25/R25-BD4-U TJVA003U SN 1T  23/11 KT</t>
  </si>
  <si>
    <t>B2652  VA047 1T 23/11 3*8</t>
  </si>
  <si>
    <t>B1NP017  VB008  1CA 22/11 KT</t>
  </si>
  <si>
    <t>B2212  VB060  1T 23/11 1*8 KT</t>
  </si>
  <si>
    <t>SGR92083B  JVB121   2CA 23/11 KT</t>
  </si>
  <si>
    <t>B2214  VB105 1.5T 25/11 2*8 KT</t>
  </si>
  <si>
    <t>B2784 VB002 1CA 22/11 KT</t>
  </si>
  <si>
    <t>BCVC0281(BPM)  VB007  1.5T 25/11 15*16</t>
  </si>
  <si>
    <t>BNC04C(CVC) VB019 15T 22/11 KT</t>
  </si>
  <si>
    <t>SO249422B  VB001H  1CA 24/11</t>
  </si>
  <si>
    <t>BC02 VB083 26/11</t>
  </si>
  <si>
    <t>BAB073 VB029 SỢI B 1T 25/11 3*8</t>
  </si>
  <si>
    <t>B2789 VB011 2CA 23/11  0*3</t>
  </si>
  <si>
    <t>SO206427I  VB025 2CA 24/11 kt</t>
  </si>
  <si>
    <t>BM2831  VB001  1CA 22/11  kt</t>
  </si>
  <si>
    <t>BFC08-128 TJVB003 SỢI X - XY  2T 26/11 kt</t>
  </si>
  <si>
    <t>SA170299A(AG3G-U)  JVA001  1CA 22/11  2*4  kt</t>
  </si>
  <si>
    <t>SO41269A(U)  VA037U SỢI B 1.5T 25/11 8*13</t>
  </si>
  <si>
    <t>B06A(FH18)(M50/C45/OC5-AA)   VA007  3T 24/11  11*16</t>
  </si>
  <si>
    <t>B11B VA088U  1CA 24/11</t>
  </si>
  <si>
    <t>B09B VA096U 4T 23/11  29*31</t>
  </si>
  <si>
    <t>B0208(GC100) VB002UA  1CA 24/11</t>
  </si>
  <si>
    <t>BCVC(40ET)11B  JVA006  1T 23/11  5*7</t>
  </si>
  <si>
    <t>BCVC04B VA075U 1CA 24/11</t>
  </si>
  <si>
    <t>B1052 JVA034U 1T 24/11  2*8</t>
  </si>
  <si>
    <t>B07B VA123U 10T 24/11</t>
  </si>
  <si>
    <t>BFC08-128 TJVB003  XY  2T 23/11  4*8</t>
  </si>
  <si>
    <t>BNC01  VB041 4T 26/11</t>
  </si>
  <si>
    <t>B2621 VB075 5T 25/11 kt</t>
  </si>
  <si>
    <t>SGR01899E  VB021 1.5T 27/11 kt</t>
  </si>
  <si>
    <t>BC02  VB085UA  1.5T 30/11 6*8</t>
  </si>
  <si>
    <t>BNC01  VB041 4T 25/11 kt</t>
  </si>
  <si>
    <t>BCVC2366  VB013  2CA 27/11 kt</t>
  </si>
  <si>
    <t>B06G(FH18)(BOC20-AA) TJVB011Y 16T 14/12 kt</t>
  </si>
  <si>
    <t>BA37L(U)  VA148 2CA 26/11 kt</t>
  </si>
  <si>
    <t>BM(100M)1019 JVA008U 13T 25/11</t>
  </si>
  <si>
    <t>B1069 VA184UUS 1.5T 26/11 2*8</t>
  </si>
  <si>
    <t>BA37L(U) VA147 6T 26/11  26*32</t>
  </si>
  <si>
    <t>B2785 VB018 1CA 26/11</t>
  </si>
  <si>
    <t>BNC04C VB040 1CA  27/11</t>
  </si>
  <si>
    <t>SGR92083B  VB120  7T 25/11 kt</t>
  </si>
  <si>
    <t>BCVC0214  VB008  1CA 27/11</t>
  </si>
  <si>
    <t>B09B VA097 3T 12/12</t>
  </si>
  <si>
    <t>B12B-OE 3VA142U 1T 3/12</t>
  </si>
  <si>
    <t>B2653 VB011  1CA 27/11 kt</t>
  </si>
  <si>
    <t>SA249074A JVB002 1CA  27/11 kt</t>
  </si>
  <si>
    <t>SY249416A VB001H  1CA 27/11 kt</t>
  </si>
  <si>
    <t>B2782(C60/ETB40)  VB001  1CA  26/11 kt</t>
  </si>
  <si>
    <t>BR2347  VB002 1CA 26/11 kt</t>
  </si>
  <si>
    <t>B2621 VB075 5T 26/11 kt</t>
  </si>
  <si>
    <t>BM0284  VA017 1T  30/11 6*8  kt</t>
  </si>
  <si>
    <t>BA37L(U) VA147 6T 27/11 27*35 kt</t>
  </si>
  <si>
    <t>BM(100M)1019 JVA008U 13T 28/11  kt</t>
  </si>
  <si>
    <t>B06A(FH18)(T65/TE35-AA) TJVA008U 2.5T 27/11 9*16</t>
  </si>
  <si>
    <t>BM(100M)1019 JVA008U 13T 25/11 kt</t>
  </si>
  <si>
    <t>BA37L(C60/ERT40-AA-U)  VA006U  1.5T 28/11 6*8 kt</t>
  </si>
  <si>
    <t>B1004P(EA30) VA014 1CA 8/12</t>
  </si>
  <si>
    <t>B06BVA059 1CA27/11</t>
  </si>
  <si>
    <t>SO41269A(U)  JVA038U  1CA 27/11</t>
  </si>
  <si>
    <t>B1115 VA010U 1.5T 28/11 0*10</t>
  </si>
  <si>
    <t>B1124V(EA20)  VA005  2CA 30/11</t>
  </si>
  <si>
    <t>CƠ</t>
  </si>
  <si>
    <t>ĐIỆN</t>
  </si>
  <si>
    <t>BC02 VB087 32T NKHO</t>
  </si>
  <si>
    <t>BCVC07B  VA083U  1CA 27/11 kt</t>
  </si>
  <si>
    <t>SA200871AU  JVA065U 5T 28/11 23*31</t>
  </si>
  <si>
    <t>B09B VA096U-A 2CA 28/11 1*7</t>
  </si>
  <si>
    <t>SGR82938A(BOC10-U)  JVA012U  1CA 29/11 kt</t>
  </si>
  <si>
    <t>B2294 VB006  1CA 26/11</t>
  </si>
  <si>
    <t>B0278 VB065 6T 30/11</t>
  </si>
  <si>
    <t>B1032  VA001  1CA 29/11</t>
  </si>
  <si>
    <t>B1124(C60/ETB40) JVA019 10T 3/12,21/12</t>
  </si>
  <si>
    <t>1-15#</t>
  </si>
  <si>
    <t>BCVC(40ET)0209  JVB005 1T 28/11  1*8</t>
  </si>
  <si>
    <t>SA170299A(CVC-U)  VA027U 1CA 28/11 kt</t>
  </si>
  <si>
    <t>SA162273A(U)  TJVA136U  1.5T 28/11 11*16 kt</t>
  </si>
  <si>
    <t>BA37L(CR20-AA-U)  VA008U  1CA 30/11 kt</t>
  </si>
  <si>
    <t>SY249438AC60/RE40  VB001 1CA 28/11 kt</t>
  </si>
  <si>
    <t>BM0279  VB001 1ca 28/11  0*3</t>
  </si>
  <si>
    <t>B2874  VB006  2CA 27/11  1*3 kt</t>
  </si>
  <si>
    <t>B2347 VB071 2CA 28/11 kt</t>
  </si>
  <si>
    <t xml:space="preserve"> B0278 VB065 6T 29/11  kt</t>
  </si>
  <si>
    <t>B0279 VB037  1CA 28/11 kt</t>
  </si>
  <si>
    <t>B02B  VA126  1CA 29/11</t>
  </si>
  <si>
    <t>B1019(OCR) VA003U 1.5T 29/11  5*10</t>
  </si>
  <si>
    <t>B06A(FH18)(BOC10) TJVA092UY 13T 30/11</t>
  </si>
  <si>
    <t>B06A(FH18)(BOC10) TJVA092UY 13T 2/12</t>
  </si>
  <si>
    <t>BM(100M)04B(AA)  VA012U  10T 3/12</t>
  </si>
  <si>
    <t>SGR41668A(CVC5-U)  JVA033U 14T 3/12</t>
  </si>
  <si>
    <t>SGR41668A(CVC5-U)  JVA033U 7T 3/12</t>
  </si>
  <si>
    <t>SGR92083B(BPM20) -RM  TJVB006 2CA 30/11  kt</t>
  </si>
  <si>
    <t>B0210 VB121UA  2CA 29/11 kt</t>
  </si>
  <si>
    <t>BPM2366  JVB005  2CA  30/11 KT</t>
  </si>
  <si>
    <t>BTM(60)C03(AA) VB002 1T 1/12 6*9</t>
  </si>
  <si>
    <t>B07B(C60/ETB40)  JVA002 1CA 29/11  KT</t>
  </si>
  <si>
    <t>SA170299A(U) JVA034  2CA 29/11 KT</t>
  </si>
  <si>
    <t>BM(100)1069  VA005  1CA 29/11  KT</t>
  </si>
  <si>
    <t>B1068  VA129  1CA 29/11 0*4</t>
  </si>
  <si>
    <t>B2452 VB006  1CA 30/11</t>
  </si>
  <si>
    <t>B0281 VB065 1CA 30/11</t>
  </si>
  <si>
    <t>B02B VA127U 6T 29/11</t>
  </si>
  <si>
    <t>B04B(AA) JVA097U 1CA 30/11</t>
  </si>
  <si>
    <t>B2347 VB070UA 1T 2/12</t>
  </si>
  <si>
    <t xml:space="preserve">BC04 VB056 17T 30/11 </t>
  </si>
  <si>
    <t>B1029P(EA30) VA017 2CA 4/12</t>
  </si>
  <si>
    <t>B06B-OE VA060</t>
  </si>
  <si>
    <t>B3404  VB003  1CA 1/12 kt</t>
  </si>
  <si>
    <t>BAB073(OCR) VB002 SỢI B 1T 1/12 6*8</t>
  </si>
  <si>
    <t>BR2401 VB001  2T 2/12 5*16</t>
  </si>
  <si>
    <t>BAB073(OCR) VB002 SỢI A 1T 1/12 2*8 kt</t>
  </si>
  <si>
    <t>SO206427IBPM-DN  JVB005 1.5T 4/12 1*8</t>
  </si>
  <si>
    <t>BR2401 VB001  2T  kt</t>
  </si>
  <si>
    <t>B05 VB066 1CA 30/11</t>
  </si>
  <si>
    <t>BA37L(C60/ERT40)-U VA007U 1CA 1/12  kt</t>
  </si>
  <si>
    <t>B0460 VA027 1.5T 1/12  9*13</t>
  </si>
  <si>
    <t>BM(100M)04B(AA)  VA012U  10T 30/11</t>
  </si>
  <si>
    <t>B1004P(EA30) VA014U  1CA  30/11  1*4</t>
  </si>
  <si>
    <t>SO41269A(U) VA040U 2CA 1/12</t>
  </si>
  <si>
    <t>B1019 VA122U 1CA 2/12</t>
  </si>
  <si>
    <t>BVA004A  VA016  1CA 3/12</t>
  </si>
  <si>
    <t>BUM048AER30-AA-U VA001 2T 4/12</t>
  </si>
  <si>
    <t>B1NP017  VB009 1CA  1/12</t>
  </si>
  <si>
    <t>B2653 VB012 1CA 2/12</t>
  </si>
  <si>
    <t>B0209(C60/ETB40) VB003  1CA 10/12</t>
  </si>
  <si>
    <t>BM2781 VB005 1CA 2/12</t>
  </si>
  <si>
    <t>BCVC2347 VB037 1CA 5/12 KT</t>
  </si>
  <si>
    <t>B2656 VB050  2CA 4/12 KT</t>
  </si>
  <si>
    <t>SA219061C JVB028  1CA 3/12</t>
  </si>
  <si>
    <t>B2282 VB031 1CA  4/12</t>
  </si>
  <si>
    <t>SGR92083B(CR30) VB014  2CA 3/12  0*4</t>
  </si>
  <si>
    <t>SA239394ABP-U  VA003U  1CA 2/12  KT</t>
  </si>
  <si>
    <t>BCVC11B  VA027U 1CA 1/12 KT</t>
  </si>
  <si>
    <t>B06A(FH18)(BOC10) TJVA092UY 13T 3/12 KT</t>
  </si>
  <si>
    <t>BR1004 JVA003U  2T 3/12 KT</t>
  </si>
  <si>
    <t>B09B VA097U 2.5T 2/12 15*16</t>
  </si>
  <si>
    <t>BVA004N  VA003 2CA  4/12</t>
  </si>
  <si>
    <t>B1124(C60/ETB40) va019 CHẠY TRC 100LB 1CA 3/12</t>
  </si>
  <si>
    <t>BCVC(40ETB)104 VA047  CHẠY TRC 88LB 3/12 - CÒN LẠI7T 13/12</t>
  </si>
  <si>
    <t>B14B(OCN) VA004 2CA 4/12</t>
  </si>
  <si>
    <r>
      <t xml:space="preserve">B1067 VA124 </t>
    </r>
    <r>
      <rPr>
        <sz val="13"/>
        <color rgb="FFFF0000"/>
        <rFont val="Times New Roman"/>
        <family val="1"/>
      </rPr>
      <t xml:space="preserve">110 LB 1CA </t>
    </r>
    <r>
      <rPr>
        <sz val="13"/>
        <color theme="1"/>
        <rFont val="Times New Roman"/>
        <family val="1"/>
      </rPr>
      <t>1/12</t>
    </r>
  </si>
  <si>
    <t>B2212 VB061 1T 4/12 0*8</t>
  </si>
  <si>
    <t>BC03 VB061  10T 2/12 KT</t>
  </si>
  <si>
    <t>BCVC0210 VB009 1CA 2/12 0*3 KT</t>
  </si>
  <si>
    <t>BNC01 VB042 7T 5/12</t>
  </si>
  <si>
    <t>BNC04(CVC)  VB020  3/12</t>
  </si>
  <si>
    <t>BCVC0208 VB042  chỉ chạy 382.67  LB  2ca 4/12</t>
  </si>
  <si>
    <t xml:space="preserve">SO231677FERT80/RE20-AA VB001  1CA </t>
  </si>
  <si>
    <t xml:space="preserve">BFC08-128 VB004 SỢI X- XY 2CA </t>
  </si>
  <si>
    <t>BN08(TC)  VB011 1CA 3/12 KT</t>
  </si>
  <si>
    <t>B06G(FH18)(BOC20-AA) TJVB012Y 16T 4/12 KT</t>
  </si>
  <si>
    <t>B06G(FH18)(BOC20-AA) TJVB012Y 16T 5/12</t>
  </si>
  <si>
    <t>BFC13-03(TM70) VB002  1CA 6/12</t>
  </si>
  <si>
    <t>BM0208  VB030 2CA 11/12</t>
  </si>
  <si>
    <t>B2214 3VB106  396.84LB 0*3  4/12</t>
  </si>
  <si>
    <t>BSO4142AU  JVA001U 1CA 4/12</t>
  </si>
  <si>
    <r>
      <t xml:space="preserve">B1067 VA124 </t>
    </r>
    <r>
      <rPr>
        <sz val="13"/>
        <color rgb="FFFF0000"/>
        <rFont val="Times New Roman"/>
        <family val="1"/>
      </rPr>
      <t>CÒN LẠI</t>
    </r>
    <r>
      <rPr>
        <sz val="13"/>
        <color theme="1"/>
        <rFont val="Times New Roman"/>
        <family val="1"/>
      </rPr>
      <t xml:space="preserve"> 3T 3/12   2*16</t>
    </r>
  </si>
  <si>
    <t>BUM049AER30-AA-U VA001 2CA 56/12 3*8</t>
  </si>
  <si>
    <t>B1069(OC60/ETB40-AA) VA016 1.5T 5/12 3*8</t>
  </si>
  <si>
    <t>B1069 VA185U 2.5T 5/12  17*23</t>
  </si>
  <si>
    <t>BCVC12B  VA071  2CA 5/12 KT</t>
  </si>
  <si>
    <t>SA170299A(TR-U) va001 1ca 6/12 KT</t>
  </si>
  <si>
    <t xml:space="preserve">SO156245H(XY-U) VA001 SỢI X-XY 2CA 5/12 </t>
  </si>
  <si>
    <t>B1067 VA124U 3T 2/12,NKHO KT</t>
  </si>
  <si>
    <t>B11B VA089  6T 7/12</t>
  </si>
  <si>
    <t>BRC04  JVB003 2CA 8/12</t>
  </si>
  <si>
    <t>BM(50)2804 VB003 1CA 9/12</t>
  </si>
  <si>
    <t>BOCC02 VB006 1.5T 8/12 4*16</t>
  </si>
  <si>
    <t>BM0208  VB029US  4.5T 7/12 26*31</t>
  </si>
  <si>
    <t>BNC01(BP) VB002 2T  6/12 7*9</t>
  </si>
  <si>
    <t>BM(100)1069  VA005  1CA 29/11  CHẠY LAI 5/12 kt</t>
  </si>
  <si>
    <t>B1069(OC80/ERT20-AA) VA002 1.5T 5/12  15*16</t>
  </si>
  <si>
    <t>BA1ND07(C60/ETN40) VA001 SỢI X-XY 2CA 6/12</t>
  </si>
  <si>
    <t>B1114 VA016 2T 7/12   0*8</t>
  </si>
  <si>
    <t>B1069(OCN)  VA048U  1T 6/12  4*7</t>
  </si>
  <si>
    <t xml:space="preserve">BUM006AER30-AA JVB029 7T 6/12 </t>
  </si>
  <si>
    <t>BTR2347 VB001  1CA 10/12</t>
  </si>
  <si>
    <t>B12B(C60/ETB40) VA013  1CA 7/12</t>
  </si>
  <si>
    <t>BCVC06B VA028  1CA 7/12</t>
  </si>
  <si>
    <t>B2793 VB004 1CA 6/12</t>
  </si>
  <si>
    <t>SA239394ABP-U VA004U 1CA 7/12</t>
  </si>
  <si>
    <t>BOC1069(AA) JVA011U 2T 10/12 4*16 KT</t>
  </si>
  <si>
    <t>SA200871ABPM20-U  VA001 1CA 7/12 KT</t>
  </si>
  <si>
    <t>SA155794D(ER10-XY-U) VA012UUB 2CA 8/12  KT</t>
  </si>
  <si>
    <t>B1069(C60/ERT40) VA004 2T 7/12  14*16</t>
  </si>
  <si>
    <t>BM02B VA008U 2T 12/12</t>
  </si>
  <si>
    <t>B1069 VA186 3T 8/12  8*23 KT</t>
  </si>
  <si>
    <t>BCVC07B VA085 1CA 8/12 3*4</t>
  </si>
  <si>
    <t>B1124 VA012 21T  14/12 KT</t>
  </si>
  <si>
    <t xml:space="preserve">B2723 VB002  1CA </t>
  </si>
  <si>
    <t>B0210 VB120 4T 9/12 16*23</t>
  </si>
  <si>
    <t>BC02(OCR) VB001 1.5T 11/12 4*16</t>
  </si>
  <si>
    <t>SO30723C(XY)  VB011  SỢI X 3T 7/12 14*16</t>
  </si>
  <si>
    <t>B2621 VB076  1CA  6/12</t>
  </si>
  <si>
    <t>B2367 VB032UA  1T  8/12  KT</t>
  </si>
  <si>
    <t>B0212 VB047 3T 9/12  11*16</t>
  </si>
  <si>
    <t>SA155427K(C60/ERT40-AA) VB002 1CA 7/12  0*4</t>
  </si>
  <si>
    <t>BCVC0208  VB042 chạy 4202 LB  2T 9/12  4*16</t>
  </si>
  <si>
    <t>SO30723C(XY)  VB011    XY  10/12</t>
  </si>
  <si>
    <t>SGR41667A(CVC20-XY) VB040 SỢI X - XY 14T 11/12 12*17 +XY</t>
  </si>
  <si>
    <t>BCVC07B VA084 1CA 8/12</t>
  </si>
  <si>
    <t>SGR82938A(BOC10-U) VA013 1CA 8/12</t>
  </si>
  <si>
    <t>SA170299A(CVC-U) VA028 1CA 9/12</t>
  </si>
  <si>
    <t>B04B VA098  21T NKHO</t>
  </si>
  <si>
    <t>B1124 VA012 7T 30/11 KT</t>
  </si>
  <si>
    <t>B1069 VA185U  3T 8/12 KT</t>
  </si>
  <si>
    <t>B11B VA089 6T 21/12 KT</t>
  </si>
  <si>
    <t>1-16#</t>
  </si>
  <si>
    <t>BCVC2366 VB014 1T 10/12  3*8</t>
  </si>
  <si>
    <t>BCVC2347 VB038 1CA  8/12 kt</t>
  </si>
  <si>
    <t>B06G(FH18)(BOC20-AA) TJVB012Y 16T 8/12 kt</t>
  </si>
  <si>
    <t>BM(100M)2282 VB001  1CA 10/12 1CA 0*4</t>
  </si>
  <si>
    <t xml:space="preserve">BM(100)2282 VB001  1CA 9/12 </t>
  </si>
  <si>
    <t>BUM049AER30-AA-U va002 1T 9/12 kt</t>
  </si>
  <si>
    <t>BA37L(U) UVA149 2CA 9/12 kt</t>
  </si>
  <si>
    <t>SO41269A(U) VA039+VA041 2CA 9/12 5*6 kt</t>
  </si>
  <si>
    <t>SA192045ACVC-U VA003 2ca 11/12  kt</t>
  </si>
  <si>
    <t>B06G(FH18)(BOC20-AA) TJVB012Y 16T 11/12</t>
  </si>
  <si>
    <t>BVA004N  VA004 2CA  11/12</t>
  </si>
  <si>
    <t>BUM009AERC30-AA TJVA004U 28T 14/12</t>
  </si>
  <si>
    <t>B06G(FH18)(BOC20-AA) TJVB012Y 16T 12/12 KT</t>
  </si>
  <si>
    <t>B06B VA061 1CA  10/12</t>
  </si>
  <si>
    <t xml:space="preserve">BUM006AER30-AA JVB029 7T 9/12 </t>
  </si>
  <si>
    <t>B2347 VB072  2CA 11/12</t>
  </si>
  <si>
    <t>BSY5397A VB012 2CA  13/12</t>
  </si>
  <si>
    <t>SA231686D VB001 2CA 17/12</t>
  </si>
  <si>
    <t>BCVC0208 VB042-A 6T 20/12</t>
  </si>
  <si>
    <t>SO27089A VB006 chạy trước 33LB  10/12</t>
  </si>
  <si>
    <t>B06G(FH18)(BOC20-AA) TJVB012Y 16T 14/12</t>
  </si>
  <si>
    <t>SO41269A(BPM20-U)  UVA021UB 2CA 12/12</t>
  </si>
  <si>
    <t>SGR92083B    JVB124UB chạy trc 234 LB  10/12</t>
  </si>
  <si>
    <t>B0210(OCR) VB009 4T 12/12 18*23</t>
  </si>
  <si>
    <t>SO202477E VB018 1CA 12/12 0*3</t>
  </si>
  <si>
    <t>SO30723C(XY)  VB011   XY  10/12 kt</t>
  </si>
  <si>
    <t>SGR41667A(CVC20-XY) VB040 XY 14T 10/12 kt</t>
  </si>
  <si>
    <t>SO30723C(XY)  VB011 XY 9T 10/12 kt</t>
  </si>
  <si>
    <t>BM0279 VB003 1T 12/12 kt</t>
  </si>
  <si>
    <t>SA209356BC60/ERT40-EY  VB002 SỢI X -XY 1CA 14/12</t>
  </si>
  <si>
    <t>B0213(C60/ETB40) VB006  2CA 11/12 kt</t>
  </si>
  <si>
    <t>BM(50)07B(AA) VA002 3T 10/12 12*16</t>
  </si>
  <si>
    <t>B1019(OCR) VA004 1T  13/12 1*4</t>
  </si>
  <si>
    <t>B1068 UVA130 1CA 11/12 kt</t>
  </si>
  <si>
    <t>SA170299A(BM100-U) va003 1ca 10/12  0*4</t>
  </si>
  <si>
    <t>B2886(OCR) VB001  2CA 13/12 kt</t>
  </si>
  <si>
    <t>B0279 VB038 1T 11/12  6*8</t>
  </si>
  <si>
    <t>B1069(OC80/ERT20-AA) va003 1ca 11/12 kt</t>
  </si>
  <si>
    <t>B1004 VA194  1CA 12/12 kt</t>
  </si>
  <si>
    <t>B09B VA098 1T 11/12 5*7</t>
  </si>
  <si>
    <t>SA170299A(BM100M-U) VA017 1CA 12/12 0*4</t>
  </si>
  <si>
    <t>BNC04(ZR) VB003 7T 12/12</t>
  </si>
  <si>
    <t>BVA004QAA JUVA001 1CA 12/12</t>
  </si>
  <si>
    <r>
      <t xml:space="preserve">B09B VA097U </t>
    </r>
    <r>
      <rPr>
        <sz val="13"/>
        <color rgb="FFFF0000"/>
        <rFont val="Times New Roman"/>
        <family val="1"/>
      </rPr>
      <t>BÙ</t>
    </r>
    <r>
      <rPr>
        <sz val="13"/>
        <color theme="1"/>
        <rFont val="Times New Roman"/>
        <family val="1"/>
      </rPr>
      <t xml:space="preserve"> 12/12</t>
    </r>
  </si>
  <si>
    <t>BUM048AER30-AA-U VA002 1T 11/12 4*7</t>
  </si>
  <si>
    <t>B06G(FH18)(BOC20-AA) TJVB012Y 16T 11/12 kt</t>
  </si>
  <si>
    <t>SO241260AAA VB005 1T 11/12  7*8 kt</t>
  </si>
  <si>
    <t>SO249196AU JUVA002 1CA 12/12</t>
  </si>
  <si>
    <t>B2214 VB106 5T 12/12  29*31 KT</t>
  </si>
  <si>
    <t>BC02(BPM50/OCR50)  VB001  2CA  11/12</t>
  </si>
  <si>
    <t>BPM(20)2214 VB015UB  1CA 11/12 kt</t>
  </si>
  <si>
    <t>BSA3871ABPM20 JVB019UB  1CA 12/12</t>
  </si>
  <si>
    <t>B0209 VB032 1T 12/12 5*8</t>
  </si>
  <si>
    <t>B1NP012 VB013 1T 13/12  3*8</t>
  </si>
  <si>
    <t>BPM2366 VB006 1.5T 13/12  10*16 kt</t>
  </si>
  <si>
    <t>SO229159ABM JVB018US 2T 12/12  12*16 kt</t>
  </si>
  <si>
    <t>SA242035AC57/M20/ERT20AG3G-U VA001  1ca 11/12 0*4 kt</t>
  </si>
  <si>
    <t>B1124(C60/ETB40) va019 9T 13/12 kt</t>
  </si>
  <si>
    <t xml:space="preserve">BUM009AERC30-AA TJVA004U 28T 14/12 </t>
  </si>
  <si>
    <t>BAB066 UVA020 SỢI B- SỢI A 2CA 12/12 kt</t>
  </si>
  <si>
    <t>BPM8847  VA035 2CA 14/12 kt</t>
  </si>
  <si>
    <t>SGR92083B VB122 12T  12/12</t>
  </si>
  <si>
    <t>SO27089A VB006 4T 16b 16/12</t>
  </si>
  <si>
    <t>SO27089A VB006 4T 24b 16/12</t>
  </si>
  <si>
    <t>SO206427I VB026 7T 15/12</t>
  </si>
  <si>
    <t>SGR92083B(CR30) VB017 1CA 13/12</t>
  </si>
  <si>
    <t>BA37M-RM  VB005 2CA 12/12 0*3 kt</t>
  </si>
  <si>
    <t>SGR92083B(CR30-AA) VB015 1CA 14/12 kt</t>
  </si>
  <si>
    <t>SGR91885D VB011 1T 15/12 7*8</t>
  </si>
  <si>
    <t>B1NP011 VB001 1T 14/12 0*8</t>
  </si>
  <si>
    <t>BNC04C VB041 CHẠY trước 160LB 1ca 13/12 kt</t>
  </si>
  <si>
    <t>B2385(GC100)  VB002 3T 13/12  15*23 kt</t>
  </si>
  <si>
    <t>BTM(60)C03(AA) VB003 2T 13/12 9*18 kt</t>
  </si>
  <si>
    <t>BM12B  VA052  4T 13/12  16*31 kt</t>
  </si>
  <si>
    <t>BCVC1069 VA040 1CA 13/12 kt</t>
  </si>
  <si>
    <t>SA170299A(U) UJVA035 1CA 13/12 kt</t>
  </si>
  <si>
    <t>B1069 VA187  CHẠY TRC 555 LB 2CA 12/12 kt</t>
  </si>
  <si>
    <t>SA200871AU JVA066U 7T 17/12 kt</t>
  </si>
  <si>
    <t>BS07B VA124 1CA 13/12 KT</t>
  </si>
  <si>
    <t>SO41269A(BPM50-U) UVA008 2CA 14/12</t>
  </si>
  <si>
    <t>B1124 VA012 21T  15/12</t>
  </si>
  <si>
    <t>B0278 VB066 chạy trước 116 LB 1ca 15/12</t>
  </si>
  <si>
    <t>B2367(GC100) VB002GEC 4T 16/12 29*31</t>
  </si>
  <si>
    <t>BNC01 VB043 1T  15/12 4*8</t>
  </si>
  <si>
    <t>B2367(OCN50/M50)  VA006  1T 14/12 0*8  kt</t>
  </si>
  <si>
    <t>13/12 THIẾT BỊ XONG kt</t>
  </si>
  <si>
    <t>SV239206AC57/M20/ETB20AG3G-U va001 1CA 14/12 kt</t>
  </si>
  <si>
    <t>BCVC07B VA086 1.5T 13/12 9*10 kt</t>
  </si>
  <si>
    <t>BUM009AERC30-AA TJVA004U 28T 16/12 kt</t>
  </si>
  <si>
    <t>BUM009AERC30-AA TJVA004U 28T 13/12 kt</t>
  </si>
  <si>
    <t>B0423(OCN)  VA003U 1.5T 15/12 1*7</t>
  </si>
  <si>
    <t>BTR0278 VB001 1T 16/12  3*9</t>
  </si>
  <si>
    <t>B2214 VB107 15T 18/12</t>
  </si>
  <si>
    <t>SB241730--CU VA001 2CA 15/12</t>
  </si>
  <si>
    <t>SO41269A(U) VA042UB 1CA 16/12</t>
  </si>
  <si>
    <t>BMC03(BPM) JVB001 1CA 15/12</t>
  </si>
  <si>
    <t>BCVC0209 VB034 2T 15/12 10*16 KT</t>
  </si>
  <si>
    <t>BTC0208(AA) JVB0033 1CA 15/12 KT</t>
  </si>
  <si>
    <t>SA170299A(C60/M20/ERT20-U) VA002 1CA 15/12 0*4 kt</t>
  </si>
  <si>
    <t>BTC2652(AA) UVA002 1CA 15/12 kt</t>
  </si>
  <si>
    <t>BA37L(U) VA150 1CA 17/12 KT</t>
  </si>
  <si>
    <t>BUM047AER30-AA-U  15T 16/12 KT</t>
  </si>
  <si>
    <t>B1069 VA190 20 BÚP 3T 16/12 19*20</t>
  </si>
  <si>
    <t>BTE(50LF)0201 VB001  1CA 17/12</t>
  </si>
  <si>
    <t>B1124 VA012 21T  20/12</t>
  </si>
  <si>
    <t>B2795 VB004 1CA 20/12</t>
  </si>
  <si>
    <t>B2653 VB013 1CA 20/12</t>
  </si>
  <si>
    <t>BC02(OCR) VB002  2CA 21/12</t>
  </si>
  <si>
    <t xml:space="preserve">B05  VB067 6T 20/12 </t>
  </si>
  <si>
    <t>BTM(60)C03 VB004 2CA 18/12 0*4</t>
  </si>
  <si>
    <t>BTE(50LF)0284  JUVA001 1CA 17/12 kt</t>
  </si>
  <si>
    <t>B11B(C60/ETB40) UVA008 2.5T 17/12  11*16 kt</t>
  </si>
  <si>
    <t>B1069 VA190 19 BÚP 16/12 17*19  kt</t>
  </si>
  <si>
    <t>B1115 VA011 3T 17/12 17*19</t>
  </si>
  <si>
    <t>SGR82938A(BOC10-U) JUVA014 3T 18/12 19*23</t>
  </si>
  <si>
    <t>BTC2652(AA) JUVA0002 1CA 15/12</t>
  </si>
  <si>
    <t>SA200871ABM70-U VA001 1CA 18/12</t>
  </si>
  <si>
    <t>BNC01 VB043 1T 23/12 kt</t>
  </si>
  <si>
    <t>BC02-OE VB088 kt</t>
  </si>
  <si>
    <t>BOC2781 VB001 4T 19/12  22*23</t>
  </si>
  <si>
    <t>SO05106I(AA)  VB014 8T 17/12 kt</t>
  </si>
  <si>
    <t>BCVC2824 VB002 2CA 20/12 kt</t>
  </si>
  <si>
    <t>B2659 VA027 4.5T 18/12 29*31 kt</t>
  </si>
  <si>
    <t>B06B VA062  1.5T 18/12    2*10 kt</t>
  </si>
  <si>
    <t>SA170299A(CVC-U) VA029 1CA 17/12</t>
  </si>
  <si>
    <t xml:space="preserve">SA170299A(TR-U) VA002 1CA 17/12 </t>
  </si>
  <si>
    <t>B14B VA072  1CA 17/12</t>
  </si>
  <si>
    <t>SO41269A(U) VA043UB 1CA 19/12</t>
  </si>
  <si>
    <t>B2804 VB024 1CA 18/12</t>
  </si>
  <si>
    <t>BM(100)2347  VB005 1CA 19/12</t>
  </si>
  <si>
    <t>BAB037 VA026 SỢI B 1ca 19/12</t>
  </si>
  <si>
    <t>B05  VB067 6T 18/12 kt</t>
  </si>
  <si>
    <t>B0281 VB066  1CA 18/12</t>
  </si>
  <si>
    <t xml:space="preserve">BNC04C(CVC) VB020-A </t>
  </si>
  <si>
    <t>BM0281(BOC) VB001 1CA 20/12</t>
  </si>
  <si>
    <t>BNC04C VB041 3T 21/12  21*23+4</t>
  </si>
  <si>
    <t>BSA3871ABPM20 VB020UB  1CA 19/12 1*3</t>
  </si>
  <si>
    <t>SO17056F VB017 2CA 19/12  kt</t>
  </si>
  <si>
    <t>B2347(HP100) VB001  1CA 20/12 kt</t>
  </si>
  <si>
    <t>BC03 VB062 2CA 19/12 0*3</t>
  </si>
  <si>
    <t>B0201 VB014 1CA 20/12</t>
  </si>
  <si>
    <t>BCVC(40ET)0209 VB006 2.5T 19/12 14*16</t>
  </si>
  <si>
    <t>BTR0278 VB002 1CA  19/12  kt</t>
  </si>
  <si>
    <t>B1004(OCN) va001  1ca 19/12 kt</t>
  </si>
  <si>
    <t>BAB037 VA026  SỢI A 1ca 19/12 kt</t>
  </si>
  <si>
    <t>BM(M)07B(BPM) VA004 1CA 18/12 kt</t>
  </si>
  <si>
    <t>B1067 VA125 1CA 18/12 kt</t>
  </si>
  <si>
    <t>SA249482BU VA001 1.5T 22/12 8*10</t>
  </si>
  <si>
    <t>SGR92083B(BPM20) VB021UB 3T 19/12 22*23</t>
  </si>
  <si>
    <t>BFC08-128 VB005 SỢI X- XY    2CA 21/12</t>
  </si>
  <si>
    <t>B0210(OCN) VB024 2CA 20/12 2*3</t>
  </si>
  <si>
    <t>BCR(30)2214(AA) TJVB0222UB 8T  22/12 kt</t>
  </si>
  <si>
    <t>B0202  VB029  1CA 20/12 kt</t>
  </si>
  <si>
    <t>BC02 VB087 20/12 kt</t>
  </si>
  <si>
    <t>SA209082BOCN VB016 2CA 22/12 kt</t>
  </si>
  <si>
    <t>B2656(HP100) VB001 1CA 20/12 0*3</t>
  </si>
  <si>
    <t>B2207(HP100) VB001  1CA  20/12</t>
  </si>
  <si>
    <t>B2366(OCN) VB007 1CA 21/12</t>
  </si>
  <si>
    <t>SA219061C VB029 2CA 21/12</t>
  </si>
  <si>
    <t>BCR(30)2214 VB023 1CA 22/12</t>
  </si>
  <si>
    <t>B2621(C60/ETB40) VB006 2CA 23/12</t>
  </si>
  <si>
    <t>BM(M)0278(BPM)  VB001  1CA 23/12</t>
  </si>
  <si>
    <t>BCVC09B VA024 1CA 20/12 kt</t>
  </si>
  <si>
    <t>SA20871AU UJVA067 2.5T 17/12 kt</t>
  </si>
  <si>
    <t>B1120(OCN) VA024 1CA 20/12 kt</t>
  </si>
  <si>
    <t>B09B VA099  1ca   18/12  1*4 kt</t>
  </si>
  <si>
    <t>BM(100M)1019  VA009 2T 22/12  11*17</t>
  </si>
  <si>
    <t>SA200871ACVC-U VA038 5.5T 24/12</t>
  </si>
  <si>
    <t>BTC12B VA052 3.5T 28/12</t>
  </si>
  <si>
    <t>B2367 VB033 2CA 23/12</t>
  </si>
  <si>
    <t>BA37M-RM VB005 2CA 22/12</t>
  </si>
  <si>
    <t>SA155427K(C60/ERT40)  JUVB03UB 1T 21/12 2*9</t>
  </si>
  <si>
    <t>B2886(OCR) VB002  2CA 22/12</t>
  </si>
  <si>
    <t>B12B VA143U 20T 22/12</t>
  </si>
  <si>
    <t xml:space="preserve">B12B VA143U 20T 23/12 </t>
  </si>
  <si>
    <t>B0209 VB033 2CA 21/12 kt</t>
  </si>
  <si>
    <t>B0202(OCN) VB003 1CA 21/12 kt</t>
  </si>
  <si>
    <t>SGR92083B(BPM20-RM) TJVB007UB  2T 24/12 3*16</t>
  </si>
  <si>
    <t>BMC03(AA) VB007 1.5T 20/12  7*8 kt</t>
  </si>
  <si>
    <t>BM0284 VB018 1.5T 22/12  3*10 kt</t>
  </si>
  <si>
    <t>BOC12B VA002 3T 24/12  17*23</t>
  </si>
  <si>
    <t>BUM049AER30-AA-U VA004  2CA 22/12 0*4</t>
  </si>
  <si>
    <t>BS07B VA125 1.5T 20/12  8*12 kt</t>
  </si>
  <si>
    <t>BA37L(U) VA151U 6*10 22/12</t>
  </si>
  <si>
    <t>SA239288BBPM-U VA003 1CA 21/12  3*4</t>
  </si>
  <si>
    <t>BCR(30)2214(AA) TJVB0222UB 8T  21/12</t>
  </si>
  <si>
    <t>BRC04(AA) VB004 1CA 22/12</t>
  </si>
  <si>
    <t>SA239190A VB004 1.5T 22/12 0*8</t>
  </si>
  <si>
    <t>B0278 VB066 5T  22/12</t>
  </si>
  <si>
    <t>BCVC0208 VB043 10T 22/12</t>
  </si>
  <si>
    <t xml:space="preserve">SGR92083B(C60/ERT40-AA)(D) TJVB004UB  2CA 23/12 </t>
  </si>
  <si>
    <t>SGR92083B(CR30-AA) VB016 3T 23/12 11*23</t>
  </si>
  <si>
    <t>BTC0285 VB021 1T 23/12 1*8</t>
  </si>
  <si>
    <t>B0202(BP) VB001 1CA 24/12</t>
  </si>
  <si>
    <t>B2653 VB014 1CA 23/12</t>
  </si>
  <si>
    <t>SO249196AUVA003 1CA 22/12</t>
  </si>
  <si>
    <t>B1123 VA007 1CA 23/12</t>
  </si>
  <si>
    <t>B1120(BP) VA001 1CA 22/12</t>
  </si>
  <si>
    <t>SA239394ABP-U VA005 1CA 23/12</t>
  </si>
  <si>
    <t>B1124 VA013 15/2</t>
  </si>
  <si>
    <t>BS07B VA124 1.5T 16/12,27/12 KT</t>
  </si>
  <si>
    <t>BCVC07B va086 1T  22/12 KT</t>
  </si>
  <si>
    <t>B1069 VA187  7T  14/12,15/12 KT</t>
  </si>
  <si>
    <t>B06B VB062 1.5T 20/12 KT</t>
  </si>
  <si>
    <t>BN08(TC) VB012 1CA 25/12</t>
  </si>
  <si>
    <t>B2282(OCR)  VB002 2CA 23/12</t>
  </si>
  <si>
    <t>BM02B VA009 1CA 24/12</t>
  </si>
  <si>
    <t>BAB073(ERT70/C30)-RM VB002 SỢI B- SỢI A 1CA 26/12</t>
  </si>
  <si>
    <t>BTCC02 VB038 3.5T 26/12 3*23 KT</t>
  </si>
  <si>
    <t>B05 VB069 2CA 24/12 0*3</t>
  </si>
  <si>
    <t>B2452(HP100) VB001  1CA 24/12 KT</t>
  </si>
  <si>
    <t>SGR92083B(BPM50) VB007 2CA 26/12 KT</t>
  </si>
  <si>
    <t>B0209(C60/ETB40) VB004  3T 25/12 KT</t>
  </si>
  <si>
    <t>B2212 VB062 5T 24/12 KT</t>
  </si>
  <si>
    <t>BM2781 VB006 2CA 26/12 KT</t>
  </si>
  <si>
    <t>BCVC11B va128 1ca 25/12 0*4</t>
  </si>
  <si>
    <t>B0284(OCN) VA013 2CA 26/12  KT</t>
  </si>
  <si>
    <t>B12B VA143U 20T 24/12 KT</t>
  </si>
  <si>
    <t>BM12B VA053 2CA 24/12  KT</t>
  </si>
  <si>
    <t>B1004 VA195  31/12</t>
  </si>
  <si>
    <t>B2561 VB018 5T 27/12</t>
  </si>
  <si>
    <t>B2367(OCN) VB012 2T 24/12 kt</t>
  </si>
  <si>
    <t xml:space="preserve">BOCC03 VB012 chạy trước 200LB - CÒN LẠI 12T 26/12 </t>
  </si>
  <si>
    <t>B2282 VB032 4.5T 31/12</t>
  </si>
  <si>
    <t>BNC01(BOC) VB004  2CA 25/12 kt</t>
  </si>
  <si>
    <t>B0212 VB048  2T 26/12  11*16</t>
  </si>
  <si>
    <t>BFC08-128 VB005  XY CHAY LAI 26/12  0*3</t>
  </si>
  <si>
    <t>BFC08-128 VB005 SỢI X 25/12 kt</t>
  </si>
  <si>
    <t>B2367(OCN50/M50) vb007 2ca 26/12 kt</t>
  </si>
  <si>
    <t>BCVC(40ET)0209 vb007 2ca 27/12 kt</t>
  </si>
  <si>
    <t>BCVC104 VA057 1CA 25/12 kt</t>
  </si>
  <si>
    <t>BCVC(40ETB)104  UVA048 6T 29/12 kt</t>
  </si>
  <si>
    <t>B06A(FH18)(BOC10) va093 8T 27/12 kt</t>
  </si>
  <si>
    <t xml:space="preserve"> B1029P(EA30) 3VA018U 2CA 57/1 KT</t>
  </si>
  <si>
    <t>B2797(C60/ETB40) VB002 1CA 25/12 kt</t>
  </si>
  <si>
    <t>B07B VA126 23T 15/2</t>
  </si>
  <si>
    <t>SGR92083B VB127 8T  26/12</t>
  </si>
  <si>
    <t>SGR92083B    JVB124UB  17T 27/12</t>
  </si>
  <si>
    <t>B2214 VB110 1CA 26/12</t>
  </si>
  <si>
    <t>B1124(C60/ETB40) VA020 11T 12/1</t>
  </si>
  <si>
    <t>B1004(ERT80/C20-AA) TJUVA001UB 2CA 27/12</t>
  </si>
  <si>
    <t>B1029P(EA30) VA018 1T 25/12  1*4 kt</t>
  </si>
  <si>
    <t>SA170299A(AG3G-U)  uVA002  1CA 26/12 kt</t>
  </si>
  <si>
    <t>SGR92083B(CR30-AA) vb018 1.5T 25/12  6*8 kt</t>
  </si>
  <si>
    <t>SGR92083B(BPM20)-RM VB008 1CA 26/12 0*3</t>
  </si>
  <si>
    <t>BPM(20)2214  VB016  2CA 26/12 1*3</t>
  </si>
  <si>
    <t>B1NCY10 VB009 XY 2CA 27/12  kt</t>
  </si>
  <si>
    <t>B1NCY10 VB009 SỢI X 25/12 kt</t>
  </si>
  <si>
    <t>BCR(30)2214(AA) VB024 1T 28/12 5*8 kt</t>
  </si>
  <si>
    <t>SGR92083B    JVB124UB  17T 26/12 kt</t>
  </si>
  <si>
    <t>BCVC2628 VB001 1CA 27/12</t>
  </si>
  <si>
    <t>BAB073-RM VB002 SỢI A 1CA 27/12</t>
  </si>
  <si>
    <t>BAB073-RM VB002 SỢI B 1CA 27/12</t>
  </si>
  <si>
    <t>B1004 VA195  28/12</t>
  </si>
  <si>
    <t>B0281 VB067 2CA 28/12</t>
  </si>
  <si>
    <t>B0210(OCN) VB025 6T 31/12 kt soi b</t>
  </si>
  <si>
    <t>B2657(OCN) VB006 1T 26/12 6*8 kt</t>
  </si>
  <si>
    <t>BTC0201 VB023 5T 27/12 29*31</t>
  </si>
  <si>
    <t>BSC03 VB063 1CA 27/12 kt</t>
  </si>
  <si>
    <t>BC04 VB059 1CA 26/12 kt</t>
  </si>
  <si>
    <t>B2798 VB014 1.5T 31/12  4*8</t>
  </si>
  <si>
    <t>B0283 VB039 1T 28/12 kt</t>
  </si>
  <si>
    <t>BMC03 VB008 1CA 28/12  0*4</t>
  </si>
  <si>
    <t>BTC2652(AA) UVA003 1.5T 30/12  4*8</t>
  </si>
  <si>
    <t>B07B(OCN) VA004 1.5T 29/12 8*13</t>
  </si>
  <si>
    <t>B1069 VA189 1.5T 27/12  5*8</t>
  </si>
  <si>
    <t>B1004(BP)  JUVA001 27/12 0*4</t>
  </si>
  <si>
    <t>B0208(OCN) VB003 1CA 27/12 kt</t>
  </si>
  <si>
    <t>B1052 VA035 2CA 29/12</t>
  </si>
  <si>
    <t>SO249492B  VB001 2CA 29/12</t>
  </si>
  <si>
    <t>B1124(C60/ETB40) VA020 11T 12/1 KT</t>
  </si>
  <si>
    <t>B1004 VA195 14T 28/12 KT</t>
  </si>
  <si>
    <t>BCVC07B  3JUVA087 2ca 28/12</t>
  </si>
  <si>
    <t>B0279 VB039 2T 31/12</t>
  </si>
  <si>
    <t>B0210(OCN) VB025 sợi A 5.0g  5*9 28/12</t>
  </si>
  <si>
    <t>B1NCY10 VB009 SỢI X-XY 1CA 28/12 kt</t>
  </si>
  <si>
    <t>BPM0210 VB030 1CA 28/12  2*4</t>
  </si>
  <si>
    <t>B1068 VA131  29/12    2*7</t>
  </si>
  <si>
    <t>B2659(HP100) VA001 1CA 28/12 0*4</t>
  </si>
  <si>
    <t>B1004 VA195  31/12 KT</t>
  </si>
  <si>
    <t>B1069(OCN)  UVA049 1T 29/12 KT</t>
  </si>
  <si>
    <t>BCVC07B VA087 1.5T 31/12 5*10</t>
  </si>
  <si>
    <t>B12B  VA145 37T 18/1 , NKHO</t>
  </si>
  <si>
    <t>B04B(AA) VA099U 15T 31/12</t>
  </si>
  <si>
    <t>B09B VA100 9T 13/1</t>
  </si>
  <si>
    <t>B2282 VB033 CHẠY TRC 50LB 1ca 29/12</t>
  </si>
  <si>
    <t>B2282 VB032 4.5T 29/12</t>
  </si>
  <si>
    <t>B2367 VB034 1CA 2/1</t>
  </si>
  <si>
    <t>B2347 VB073 4T 3/1</t>
  </si>
  <si>
    <t>BVA004A  VA017 1CA 2/1</t>
  </si>
  <si>
    <t>B2866(AA) VB001 1CA 2/1</t>
  </si>
  <si>
    <t>BOC0214 VB002 CHẠY TRƯỚC 150LB 29/12</t>
  </si>
  <si>
    <t>B2401(GC100)  VB001 1.5T 30/12 KT</t>
  </si>
  <si>
    <t>B04B(AA) VA099U 15T 30/12 KT</t>
  </si>
  <si>
    <t>B1069 VA192 1T  3/1 KT</t>
  </si>
  <si>
    <t>B06G(FH18)(BOC20-AA) VB013 6T 4/1</t>
  </si>
  <si>
    <t>BCVC2824 VB003 1CA 29/12 kt</t>
  </si>
  <si>
    <t>SGR92083B VB130 1T 31/12</t>
  </si>
  <si>
    <t>SGR92083B(CVC-AA) VB038 2CA 3/1</t>
  </si>
  <si>
    <t>BNC04C(CVC) VB020-A  2/1</t>
  </si>
  <si>
    <t>B2207 VB014 1CA 2/1 kt</t>
  </si>
  <si>
    <t>BOCC02 VB007 6T 31/12  kt</t>
  </si>
  <si>
    <t>B2347 VB073 9T 31/12 kt</t>
  </si>
  <si>
    <t>BSB4047BERT50/C25/R25ETERAAU va003  2T 3/1 2*7</t>
  </si>
  <si>
    <t>B06A(FH18)(T65/TE35-AA) va009 1ca 4/1</t>
  </si>
  <si>
    <t>B1067(OCN) VA011 1.5T  31/12 7*8</t>
  </si>
  <si>
    <t>SGR82938A(BOC10-U) VA015 3T 31/12  21*23</t>
  </si>
  <si>
    <t>BOC12B VA003 1CA 3/1</t>
  </si>
  <si>
    <t>BA37L(U) TJUVA152UB  1CA 4/1</t>
  </si>
  <si>
    <r>
      <t>B04B VA098U 22T 3</t>
    </r>
    <r>
      <rPr>
        <b/>
        <sz val="13"/>
        <color theme="1"/>
        <rFont val="Times New Roman"/>
        <family val="1"/>
      </rPr>
      <t>/1</t>
    </r>
  </si>
  <si>
    <t>SO152767C(XY) VB063 chạy 33.07 LB sợi x- XY  1ca 2/1 kt</t>
  </si>
  <si>
    <t>B2NO019(OCR) VB001 2CA 31/12  0*3 kt</t>
  </si>
  <si>
    <t>BC04 VB056   2/1 kt</t>
  </si>
  <si>
    <t>SA170299A(U) va036 1ca 3/1  0*4</t>
  </si>
  <si>
    <t>B1069(C60/ERT40) va005 1ca 3/1  0*4</t>
  </si>
  <si>
    <t>B1068(OCN) va013 1ca 2/1 0*3</t>
  </si>
  <si>
    <t>BOC(90)1005 VA006 1T 4/1 0*7</t>
  </si>
  <si>
    <t>SA200871ACVC-U VA039  15T 6/1</t>
  </si>
  <si>
    <t>SO196304CCVC  VB003  1CA 3/1</t>
  </si>
  <si>
    <t>B2207(C60/ETB40) VB007 2CA 4/1  2*3</t>
  </si>
  <si>
    <t>BNC04C(CVC) VB020-A 3/1 kt</t>
  </si>
  <si>
    <t>BNC04C(CVC) VB020-A  3//1 kt</t>
  </si>
  <si>
    <t>B2214 VB109 1.5T 5/1  3*8</t>
  </si>
  <si>
    <t>BFC08-128 TJVB005UB SỢI X - XY 1T 5/1 kt</t>
  </si>
  <si>
    <t>BOC0214 VB002  6T 10/1</t>
  </si>
  <si>
    <t>B2385 VB023 1CA 4/1</t>
  </si>
  <si>
    <t>BM(100M)04B(AA)   JUVA013 7T 6/1</t>
  </si>
  <si>
    <t>B07B(C60/ETB40) VA003 CHẠY trước 100LB 1CA  8/1</t>
  </si>
  <si>
    <t>BVA004N VA005 1CA 6/1 kt</t>
  </si>
  <si>
    <t>B1029P(EA30) VA019 2CA 4/1 kt</t>
  </si>
  <si>
    <t>SO249196AU VA005 1CA 5/1 kt</t>
  </si>
  <si>
    <t>B09B(C60/ETB40) va019 1.5T 5/1 6*10</t>
  </si>
  <si>
    <t>BM(50)07B(AA) va003 1T 8/1</t>
  </si>
  <si>
    <t>SGR41668A(CVC5-U) VA034 3.5T 6/1  8*23 kt</t>
  </si>
  <si>
    <t>B1124(C60/ETB40) 3JUVA020 11T 5/1 kt</t>
  </si>
  <si>
    <t>BUM052AER30-AA-U VA001 2T 8/1  3*16</t>
  </si>
  <si>
    <t>B2299 VB039 3.5T 4/1 21*23</t>
  </si>
  <si>
    <t>BN08(TC) VB013 1T 5/1  5*8</t>
  </si>
  <si>
    <t>B2793 VB007 1T 6/1  3*8</t>
  </si>
  <si>
    <t>SO196304F VB008 1CA 4/1  0*3</t>
  </si>
  <si>
    <t>B06G(FH18)(BOC20-AA) VB013 6T 3/1 kt</t>
  </si>
  <si>
    <t>品种</t>
  </si>
  <si>
    <t>粗纱</t>
  </si>
  <si>
    <t>SO206427I VB028</t>
  </si>
  <si>
    <t>B0285(C60/ETB40) VB004</t>
  </si>
  <si>
    <t>B2793 VB006</t>
  </si>
  <si>
    <t xml:space="preserve">SO152767C(XY) VB063 </t>
  </si>
  <si>
    <t>SGR41667A(CVC20-XY) VB041</t>
  </si>
  <si>
    <t>B0208 VB062</t>
  </si>
  <si>
    <t>B2282 VB033</t>
  </si>
  <si>
    <t xml:space="preserve">B0278 VB067 </t>
  </si>
  <si>
    <t>B0208(C60/ETB40) VB019</t>
  </si>
  <si>
    <t xml:space="preserve">B06G(FH18)(BOC20-AA) VB014 </t>
  </si>
  <si>
    <t>合计</t>
  </si>
  <si>
    <t>BRC04C VB005</t>
  </si>
  <si>
    <t>B2796(GC100)VB001GEC</t>
  </si>
  <si>
    <t>AB厂现在供应情况</t>
  </si>
  <si>
    <t>普梳
（根数条子）</t>
  </si>
  <si>
    <t>精梳
（根数条子）</t>
  </si>
  <si>
    <t>VB016</t>
  </si>
  <si>
    <t>VB045</t>
  </si>
  <si>
    <t>JC VB016</t>
  </si>
  <si>
    <t>JC VB045</t>
  </si>
  <si>
    <t>B2212 VB063 6.5T 9/1</t>
  </si>
  <si>
    <t>BOC0214 VB002  5T  11/1</t>
  </si>
  <si>
    <t>BUM047AER30-AA-U  VA005  15T 16/12 kT</t>
  </si>
  <si>
    <t>BPM0216 VB003 2.5T 8/1 9*23 KT</t>
  </si>
  <si>
    <t>BNC04C VB042 11T 10/1  KT</t>
  </si>
  <si>
    <t>B0280 VB037 1T 8/1 3*8</t>
  </si>
  <si>
    <t>BC02(OCR) VB003 4T 8/1 16*23  KT</t>
  </si>
  <si>
    <t>SGR41667A(CVC20-XY) VB041 SỢI X 2T 5/1  5*10 KT</t>
  </si>
  <si>
    <t>BC04  VB056-A  5/1 KT</t>
  </si>
  <si>
    <t>B0221 VB018 2CA 7/1 kt</t>
  </si>
  <si>
    <t>BFC13-03(M70/ERT30) VB001R 4T 8/1 25*26</t>
  </si>
  <si>
    <t>BOC0214 VB002  5T  10/1</t>
  </si>
  <si>
    <t>B09B VA101UA  1.5T  9/1 kt</t>
  </si>
  <si>
    <t>B02B(GC100) UVA001GEC  1T 6/1  5*7</t>
  </si>
  <si>
    <t>BUM009AERC30-AA TJUVA006UB 1.5T  8/1   14*23</t>
  </si>
  <si>
    <t>BPM1069 VA089 1T 6/1  0*4 kt</t>
  </si>
  <si>
    <t>BUM047AER30-AA-U  VA006 1CA 7/1  0*4 kt</t>
  </si>
  <si>
    <t>BM12B UJVA054 1T 10/1  6*10</t>
  </si>
  <si>
    <t>BA37L(U) VA153 2CA 10/1  2*7</t>
  </si>
  <si>
    <t>B1069 VA194US 1T 9/1  0*8</t>
  </si>
  <si>
    <t>BOC2796 VB001 4T 8/1  19*23</t>
  </si>
  <si>
    <t>B0278(C60/ERT40) VB005 1CA 8/1 kt</t>
  </si>
  <si>
    <t>B0281O(CN)  VB007 1.5T 10/1  4*8</t>
  </si>
  <si>
    <t>BPM(20)0201 VB001 1CA 8/1 kt</t>
  </si>
  <si>
    <t>B1069 VA193 2T 7/1  7*16 KT</t>
  </si>
  <si>
    <t>SGR92083B VB128UB 10T 9/1</t>
  </si>
  <si>
    <t>B2347 VB074 chạy trước 1027 LB 1T 12/1</t>
  </si>
  <si>
    <t>BC02 VB087 chạy trước 1103LB - còn lại 7/1 kt</t>
  </si>
  <si>
    <t>màu</t>
  </si>
  <si>
    <t>poly 104</t>
  </si>
  <si>
    <t>B2347 VB074</t>
  </si>
  <si>
    <t>B0210(OCR) VB010</t>
  </si>
  <si>
    <t>ÚC VTBV2318983-2</t>
  </si>
  <si>
    <t>JC ÚC VTBV2318983-2</t>
  </si>
  <si>
    <t>B0278(C60/ETB40) VB001</t>
  </si>
  <si>
    <t>BNC04C VB042</t>
  </si>
  <si>
    <t>B2212 VB063</t>
  </si>
  <si>
    <t>JC ÚC GEC249968-1</t>
  </si>
  <si>
    <t>B2367(OCN) VB013</t>
  </si>
  <si>
    <t>TNK 74-2</t>
  </si>
  <si>
    <t>RAYON 405</t>
  </si>
  <si>
    <t>CHẢI</t>
  </si>
  <si>
    <t>JC mỹ VEX111</t>
  </si>
  <si>
    <t>BOC(90)2561 VB018 10/1 2CA LUKY  0*3</t>
  </si>
  <si>
    <t>BRC04C VB005 2T 12/1  11*17</t>
  </si>
  <si>
    <t>BPM(50)1068 va004 1ca 8/1 kt</t>
  </si>
  <si>
    <t>B11B(C60/ETB40) VA009 2T 10/1  8*16</t>
  </si>
  <si>
    <t>B2652 VA048 2CA 8/1  1*3</t>
  </si>
  <si>
    <t>B1068 VA132 2CA 9/1  1*4</t>
  </si>
  <si>
    <t>BCVC07B VA088 1CA 9/1  0*4</t>
  </si>
  <si>
    <t>B11B VA090  1CA 8/1 kt</t>
  </si>
  <si>
    <t>B2214 VB111 1CA 20/1  9/1</t>
  </si>
  <si>
    <t>B06A(FH18)(BOC20-AA) VA018UBY  12T 11/1</t>
  </si>
  <si>
    <t>B1124(C60/ETB40) 3JUVA020 11T 10/1</t>
  </si>
  <si>
    <t>SO206427I VB028   3.5T 9/1 22*23</t>
  </si>
  <si>
    <t>B2324(GC100) VB001 1.5T 11/1  0*8</t>
  </si>
  <si>
    <t>B0285 VB021 CHẠY TRC 100LB 1CA  10/1 kt</t>
  </si>
  <si>
    <t>B2797 VB002 1CA 11/1 kt</t>
  </si>
  <si>
    <t>BTC0285 VB022 2CA 9/1 0*4</t>
  </si>
  <si>
    <t>BA37L(U) VA154 2CA 10/1 kt</t>
  </si>
  <si>
    <t>BA37L(C60/ERT40-U)  VA008 2CA 9/1   3*4</t>
  </si>
  <si>
    <t>BOC07B  VA005 1T 9/1  5*7</t>
  </si>
  <si>
    <t>B1004(GC100( UJVA001GEC  3T 10/1  18*23</t>
  </si>
  <si>
    <t>B14B(OCR)  VA015 1CA 9/1 kt</t>
  </si>
  <si>
    <t>BTCC02 VB039 2CA 10/1</t>
  </si>
  <si>
    <t>B1069(OC80/ERT20-AA) VA004 1T 20/1</t>
  </si>
  <si>
    <t>BCVC(40ET)0278  VB001  1CA 14/1</t>
  </si>
  <si>
    <t>SO27089A VB007 1T 12/1 4*8</t>
  </si>
  <si>
    <t>B2367(OCN) VB013 1.5T 12/1 10*16</t>
  </si>
  <si>
    <t>B2NO019(OCR) VB002 2CA 14/1</t>
  </si>
  <si>
    <t>B0285 VB021 CÒN LẠI 2T 18/1</t>
  </si>
  <si>
    <t>BFC13-03(M70/ERT30) VB002R 1ca 10/1  0*4</t>
  </si>
  <si>
    <t>B1069(OCN) JUVA050 3.5T 10/1 30*31</t>
  </si>
  <si>
    <t>B1052 VA036 2CA 10/1 kt</t>
  </si>
  <si>
    <t>B1020 VA053 1.5T 12/1  1*10</t>
  </si>
  <si>
    <t>B1069(OCN60/ETB40-AA) JUVA017 3T 12/1  6*16</t>
  </si>
  <si>
    <t>BM(100M)04B(AA)   JUVA013 10/1 kt</t>
  </si>
  <si>
    <t>BCVC2347 VB039 1CA 15/1</t>
  </si>
  <si>
    <t>B0460 VA028 1CA 13/1</t>
  </si>
  <si>
    <t>B0295(OCR) VB001 2T 11/1  14*16</t>
  </si>
  <si>
    <t>BTM(60)0213(AA) JVB001 1CA  11/1 kt</t>
  </si>
  <si>
    <t>B0208 VB062 6T 12/1</t>
  </si>
  <si>
    <t>BPM0460 VA001 1T 13/1   4*11</t>
  </si>
  <si>
    <t>BCVC04B VA076 6T 18/1</t>
  </si>
  <si>
    <t>BCVC(40ETB)104 UVA049 10T 15/1</t>
  </si>
  <si>
    <t>B2621 VB077 1CA 13/1</t>
  </si>
  <si>
    <t>B0210 VB122 1CA 14/1</t>
  </si>
  <si>
    <t>B2793(OCR) VB001 2T 12/1  9*16</t>
  </si>
  <si>
    <t>B0213 VB024 1.5T 12/1  0*8</t>
  </si>
  <si>
    <t>B2656 VB051 2CA 13/1</t>
  </si>
  <si>
    <t xml:space="preserve">SY229305CGC100   3JVB001GEC 1.5T 13/1 0*8 </t>
  </si>
  <si>
    <t>B1067 VA126 5T 16/1</t>
  </si>
  <si>
    <t>B2561 VB019  CHẠY LẠI 1CA 12/1</t>
  </si>
  <si>
    <t>SP 2 CỌNG MÀU</t>
  </si>
  <si>
    <t>trắng</t>
  </si>
  <si>
    <t>SP 3 CỌNG MÀU</t>
  </si>
  <si>
    <t>CÁCH SẮP CÚI SP GHÉP CÚI</t>
  </si>
  <si>
    <t>SP 4 CỌNG MÀU</t>
  </si>
  <si>
    <t>SP 5 CỌNG MÀU</t>
  </si>
  <si>
    <t>SA219061C VB030 1T 12/1 7*8</t>
  </si>
  <si>
    <t>B0208(GC100)  VB003 1T   15/1</t>
  </si>
  <si>
    <t>B1034(GC100) VA001 3T 14/1 17*20.5</t>
  </si>
  <si>
    <t>BPM1069 VA090 1T 13/1 7*9</t>
  </si>
  <si>
    <t>SGR92083B VB131 1T 13/1  2*8</t>
  </si>
  <si>
    <t>BCVC0214  VB009 3T 14/1  17*26</t>
  </si>
  <si>
    <t>SA180840A(CVC)  VB002 1CA 15/1 kt</t>
  </si>
  <si>
    <t>B0278 VB067 5T 14/1</t>
  </si>
  <si>
    <t>B0210(OCR) VB010 7T 15/1</t>
  </si>
  <si>
    <t>B0278 VB067 15T 14/1</t>
  </si>
  <si>
    <t>B2793 VB006 7T 13/1  KT</t>
  </si>
  <si>
    <t>B0283 VB040 1CA 16/1</t>
  </si>
  <si>
    <t>SGR92083B VB133 1T 16/1</t>
  </si>
  <si>
    <t>B8224 VA031 1CA 16/1</t>
  </si>
  <si>
    <t>B14B(OCN) VA005 1CA 17/1</t>
  </si>
  <si>
    <t>SA200871AU JVA068U 17T 13/1 KT</t>
  </si>
  <si>
    <t>SA200871AU JVA068U 17T 14/1 KT</t>
  </si>
  <si>
    <t>BCVC07B VA089 1CA 14/1</t>
  </si>
  <si>
    <t>B07B VA126 23T 15/1</t>
  </si>
  <si>
    <t>B2793 VB006 5T 13/1 KT</t>
  </si>
  <si>
    <t>B2793 VB006 7T 14/1 kt</t>
  </si>
  <si>
    <t>SA181690A VB020 2CA 14/1 kt</t>
  </si>
  <si>
    <t>B2282(OCR) VB003 2CA 14/1  1*3</t>
  </si>
  <si>
    <t>B1068 VA132 1T 15/1  2*7</t>
  </si>
  <si>
    <t>BCVC(40ET)07B  JUVA001  1CA 16/1 kt</t>
  </si>
  <si>
    <t>B1020 JUVA053 sợi A  1.5T 17/1  1*4</t>
  </si>
  <si>
    <t>B1067 VA126 5T 14/1  27*31</t>
  </si>
  <si>
    <t>BCVC11B VA130 1T  22/2</t>
  </si>
  <si>
    <t>BUM052AER30-AA-U VA002 1ca 15/1</t>
  </si>
  <si>
    <t>B2366 VB061 2CA 15/1</t>
  </si>
  <si>
    <t>B1004P(EA30)  VA015  2CA 18/1</t>
  </si>
  <si>
    <t>B07B(C60/ETB40) VA003 7T 17/1</t>
  </si>
  <si>
    <t>B07B(C60/ETB40) VA003 7T 18/1</t>
  </si>
  <si>
    <t>BNC04C(ZR) JVB004 1.5T  15/1  9*16 kt</t>
  </si>
  <si>
    <t>B2793 VB006 13T 12/1 13T 14/1 kt</t>
  </si>
  <si>
    <t>SA249575B JVB001 2CA 15/1  0*3</t>
  </si>
  <si>
    <t>B2796(GC100)VB001GEC 4T 14/1  22*23  kt</t>
  </si>
  <si>
    <t>BCVC(40ET)0209 VB008  1.5T 16/1  0*9 kt</t>
  </si>
  <si>
    <t>SGR82938A(BOC10-U) 3JUVA016 4T 15/1  30*31</t>
  </si>
  <si>
    <t>BCVC12B VA072 1T 18/1  0*7</t>
  </si>
  <si>
    <t>SA155794D(ER10-XY-U) JUVA013UBM1 sợi x-XY  2CA 16/1 1*4</t>
  </si>
  <si>
    <t>B1016(GC100) VA001 5T 15/1  30*31</t>
  </si>
  <si>
    <t>BM(70M)1068(AA) VA001 2CA 14/1  3*4 kt</t>
  </si>
  <si>
    <t>B2214 VB112 1T 15/1  0*8   kt</t>
  </si>
  <si>
    <t>SA259023ACVC15 vb001 2ca 10/2</t>
  </si>
  <si>
    <t>SO41269A(U) VA044 2CA 15/1  2*4</t>
  </si>
  <si>
    <t>BTM(60)2347(AA)  VB001  1CA 16/1</t>
  </si>
  <si>
    <t>BCVC0210 VB010 1CA 17/1</t>
  </si>
  <si>
    <t>SO196304F VB009 1CA 16/1</t>
  </si>
  <si>
    <t>BA37L(U) VA155 2CA 16/1</t>
  </si>
  <si>
    <t>B1114 VA017 13T 11/2</t>
  </si>
  <si>
    <t>BC04 VB056-B  5T  22/1</t>
  </si>
  <si>
    <t>BCVC11B VA129  2T 16/1  10*13</t>
  </si>
  <si>
    <t>B1068(OCN) VA014 1T 17/1  2*7</t>
  </si>
  <si>
    <t>SA239394ABP-U VA006 2CA 15/1  kt</t>
  </si>
  <si>
    <t>B2748 VB005 1T 17/1  0*8</t>
  </si>
  <si>
    <t>BM0213(s)    JVB002 1T 16/1  5*8</t>
  </si>
  <si>
    <t>B2782 VB010 2CA 16/1  2*3</t>
  </si>
  <si>
    <t>BFC08-130 VB031  SỢI X -XY 1.5T  17/1  1*8 kt</t>
  </si>
  <si>
    <t>B2401 VB019 2CA 16/1  0*3</t>
  </si>
  <si>
    <t>BCVC2401(AA) VB001 1CA 16/1  0*4</t>
  </si>
  <si>
    <t>B0208(C60/ETB40) VB019 8T 16/1 kt</t>
  </si>
  <si>
    <t>B0284 VA018 1CA 18/1  kt</t>
  </si>
  <si>
    <t>B2781(HP100)  JVB001H  1CA 18/1 kt</t>
  </si>
  <si>
    <t>B0285(C60/ETB40) VB004 11T 16/1 kt</t>
  </si>
  <si>
    <t>B0279 VB040 2CA 17/1  kt</t>
  </si>
  <si>
    <t>B2347(OCR60/T40) VB001 1CA 18/1 kt</t>
  </si>
  <si>
    <t>SGR41667A(CVC20-XY) VB041 XY 12T 17/1 kt</t>
  </si>
  <si>
    <t>B1124(C60/ETB40)  VA021  1CA 17/1 kt</t>
  </si>
  <si>
    <t>B09B(C60/ETB40) VA020 2CA 17/1 kt</t>
  </si>
  <si>
    <t>BUM048AER30-AA-U  VA003 1CA 17/1  1*4</t>
  </si>
  <si>
    <t>B1124(RE75/ERT25) VA001 1CA 18/1  kt</t>
  </si>
  <si>
    <t>BNC04C VB042 11T 20/1</t>
  </si>
  <si>
    <t>B1069  VA197 1CA 22/1</t>
  </si>
  <si>
    <t>B0209(C60/ETB40) VB005 2CA 17/1    0*4</t>
  </si>
  <si>
    <t>BSA3871ABPM20 VB021 1CA 21/1</t>
  </si>
  <si>
    <t>SGR91885D VB012 2CA 17/1</t>
  </si>
  <si>
    <t>SO241260A  VB007 1CA 17/1</t>
  </si>
  <si>
    <t>SGR92083B(BPM20) VB023 1CA 18/1 kt</t>
  </si>
  <si>
    <t>B2347 VB074  CÒN LẠI 9T 20/1</t>
  </si>
  <si>
    <t>SO17056F  VB018 1.5T 20/1   3*8</t>
  </si>
  <si>
    <t>B0278(C60/ETB40) 3JVB002 2T 21/1  2*16</t>
  </si>
  <si>
    <t>BRC04 VB006 1CA 18/1     KT</t>
  </si>
  <si>
    <t>BA37L(U) VA156 2.5T   .20/1  4*13</t>
  </si>
  <si>
    <t>BCVC11B VA130 1T  19/1  6*7</t>
  </si>
  <si>
    <t>BUM051AER30-AA-U VA006 1.5T 19/1` 3*10</t>
  </si>
  <si>
    <t>SO41269A(BPM20-U) VA022 1CA 20/1</t>
  </si>
  <si>
    <t>BM12B VA055 1CA 18/1 0*4</t>
  </si>
  <si>
    <t>BM(70M)1068(BPM-AA) VA001 5.5T 7/2</t>
  </si>
  <si>
    <t>B1124(T80/RE20) VA001 1CA 8/2</t>
  </si>
  <si>
    <t>BM(M)07B(BPM) VA005 1CA 19/1</t>
  </si>
  <si>
    <t>B1020(OCN) VA001  2CA  21/1</t>
  </si>
  <si>
    <t>SGR92083B(CR30-AA) VB019 1T 21/1</t>
  </si>
  <si>
    <t>BC04 VB056-B  5T  19/1</t>
  </si>
  <si>
    <t xml:space="preserve"> B0208  VB063  7T  20/1</t>
  </si>
  <si>
    <t>B2656 VB052 2CA 20/1</t>
  </si>
  <si>
    <t>B0280 VB038 2CA 21/1</t>
  </si>
  <si>
    <t>B0279(C60/ETB40) VB009 6T 20/1</t>
  </si>
  <si>
    <t>B0279(C60/ETB40) VB009 6T  21/1</t>
  </si>
  <si>
    <t>B0279(C60/ETB40) VB009 6T 22/1</t>
  </si>
  <si>
    <t>SGR92083B(CVC-AA) vb039 1ca 22/1</t>
  </si>
  <si>
    <t>SO05106I VB016 2T 22/1  10*16</t>
  </si>
  <si>
    <t>B05 VB081 1CA  20/1  1*3</t>
  </si>
  <si>
    <t>B2793 VB008 1T 21/1  KT</t>
  </si>
  <si>
    <t>B2347 VB076 1CA 20/1</t>
  </si>
  <si>
    <t>BCVC104 VA058 1CA 20/1 KT</t>
  </si>
  <si>
    <t>B1004(C60/ETB40) VA016 4T 21/1  11*23  KT</t>
  </si>
  <si>
    <t>SO249196AU  VA007  1T 21/1</t>
  </si>
  <si>
    <t>BCVC(40ETB)104 VA050 5T 20/1  23*23+7*8</t>
  </si>
  <si>
    <t>B2659  3JUVA028 7T 22/1</t>
  </si>
  <si>
    <t>BCVC(40ET)0209 VB009 2CA  24/1</t>
  </si>
  <si>
    <t>B0281  VB068 1CA 21/1</t>
  </si>
  <si>
    <t>B06G(FH18)(BOC20-AA) VB015 13T  24/1</t>
  </si>
  <si>
    <t>BSO4101ABOC10 3JVB001UBY 2CA  21/1  1*3</t>
  </si>
  <si>
    <t>B0278  VB069 1T  20/1  7*8 KT</t>
  </si>
  <si>
    <t>SA231686D  VB002 1CA 22/1  KT</t>
  </si>
  <si>
    <t>BFC13-03(M70/ERT30) VB003  2CA 20/1     0*4  KT</t>
  </si>
  <si>
    <t>B2NO019(OCR) VB003 1CA 22/1  KT</t>
  </si>
  <si>
    <t>BCVC1069 VA041 1CA 21/1  KT</t>
  </si>
  <si>
    <t>B06A(FH18)(BOC)  TJUVA040Y  1CA 21/1  1*4</t>
  </si>
  <si>
    <t>BCR(5)1067(BOC)  va001  1ca 22/1</t>
  </si>
  <si>
    <t>B1069 VA195 6T  22/1  KT</t>
  </si>
  <si>
    <t>B1069(OCN) VA051 1T 23/1  KT</t>
  </si>
  <si>
    <t>1-4#</t>
  </si>
  <si>
    <t>BM(100M)2367  VA001 1CA 22/1  KT</t>
  </si>
  <si>
    <t>SGR82938A(BOC10-U) VA017 2T 22/1  8*8 +1*8 kt</t>
  </si>
  <si>
    <t>B11B VA091  1CA 22/1  kt</t>
  </si>
  <si>
    <t>B2367  VB035 2CA 22/1  1*3</t>
  </si>
  <si>
    <t>B0210 VB123 1.5T 22/1  8*16  kt</t>
  </si>
  <si>
    <t>SO231795A VB001  2T  22/1  9*16  kt</t>
  </si>
  <si>
    <t>BPM0460  VA002  1CA 23/1</t>
  </si>
  <si>
    <t>SA155968A(U)  VA001  1CA 24/1</t>
  </si>
  <si>
    <t>BC02 VB091</t>
  </si>
  <si>
    <t>B12B VA145</t>
  </si>
  <si>
    <t>B1004 VA197 4T 5/3</t>
  </si>
  <si>
    <t>BVA004A VA018U 10T  8/2</t>
  </si>
  <si>
    <t>BVA004A VA018U  17T 7/2</t>
  </si>
  <si>
    <t>B2214 VB113 1CA 23/1  kt</t>
  </si>
  <si>
    <t>B2782(C60/ETB40)  3JVB002 5T 23/1  25*31 kt</t>
  </si>
  <si>
    <t>BTC0209(AA) VB004 1T 23/1  0*8 kt</t>
  </si>
  <si>
    <t>SGR92083B VB134 1CA 23/1  kt</t>
  </si>
  <si>
    <t>BM0213(S)  VA003 1CA 22/1 kt</t>
  </si>
  <si>
    <t>SA200871AU VA069 5T 22/1  30* 31  kt</t>
  </si>
  <si>
    <t>B1067(OCN) VA012 1.5T  23/1 6*10  kt</t>
  </si>
  <si>
    <t>B1052 VA037 2CA 23/1 kt</t>
  </si>
  <si>
    <t>SA200871AC60/ETB40-U   3JUVA001 1.5T 4/2  8*16</t>
  </si>
  <si>
    <t>SA259013BCVC-U  VA001 1CA 8/2</t>
  </si>
  <si>
    <t>BCVC04B vb077 1T 1/3</t>
  </si>
  <si>
    <t>B06A(FH18)(BOC10) UVA095 25T  5/2</t>
  </si>
  <si>
    <t>BUM006AER30-AA VB032 12T  6/2</t>
  </si>
  <si>
    <t>1-5# chưa</t>
  </si>
  <si>
    <t>B06G(FH18)(BOC20-AA) VB015 13T  23/1 KT</t>
  </si>
  <si>
    <t>SO152767C(XY) VB064 SỢI X - XY  8T   2*10+XY 24/1 KT</t>
  </si>
  <si>
    <t>B2282 VB033 24T  6/2  KT</t>
  </si>
  <si>
    <t>B0283 VB041 2T 23/1 14*16 KT</t>
  </si>
  <si>
    <t>B2212 VB064 1.5T 24/1  10*16 kt</t>
  </si>
  <si>
    <t>SGR92083B(BPM20) VB024 1CA 24/1 kt</t>
  </si>
  <si>
    <t>B2282 VB033 24T  7/2 kt</t>
  </si>
  <si>
    <t>BSA3871ABPM20 VB022  1CA 24/1 kt</t>
  </si>
  <si>
    <t>B1NA13 VB009 SỢI X 2CA 4/2  kt</t>
  </si>
  <si>
    <t>BCVC(40ET)11B 3JUVA007  2ca 4/2  2*4</t>
  </si>
  <si>
    <t>BA37L(U) va157 2ca 4/2 0*4  kt</t>
  </si>
  <si>
    <t>B1069 VA195 5T 15/1 kt</t>
  </si>
  <si>
    <t>BCVC04B VA076 6T 16/1  kt</t>
  </si>
  <si>
    <t>B04B(AA) VA103 5/2</t>
  </si>
  <si>
    <t>SA259023ACVC15 vb001 2ca 4/2  1*3 kt</t>
  </si>
  <si>
    <t>SO152767C(XY) VB064  XY  8T 24/1   kt</t>
  </si>
  <si>
    <t>BOC0285 VB007 5T 24/1  29*31 kt</t>
  </si>
  <si>
    <t>B02B(ERT65/C35) VA001  1CA 5/2 0*4</t>
  </si>
  <si>
    <t>BM(50)07B(AA) VA004 2T 6/2  9*16</t>
  </si>
  <si>
    <t>BUM006AER30-AA VB032 12T  6/2  kt</t>
  </si>
  <si>
    <t>B02B va128 3T 2/3</t>
  </si>
  <si>
    <t>B06B VA063 2CA 5/2  3*4</t>
  </si>
  <si>
    <t>SB249161ABM-U va001 1ca 6/2  kt</t>
  </si>
  <si>
    <t>BVA004Q VA002 1CA 9/2  kt</t>
  </si>
  <si>
    <t>SO41269A(U) VA045 1CA 5/2  0*4</t>
  </si>
  <si>
    <t>B06A(FH18)(BOC10) UVA095 25T 4/2 kt</t>
  </si>
  <si>
    <t>B2347 VB075 2.5T 7/2 12*16</t>
  </si>
  <si>
    <t>BCVC0209 VB035 2.5T 5/2  12*16  kt</t>
  </si>
  <si>
    <t>BCR(30)2214(AA)  TJVB025UB  1T 8/2  kt</t>
  </si>
  <si>
    <t>BC02(OCR) VB004 2CA  kt</t>
  </si>
  <si>
    <t>B0210(AA) VB124 1CA 5/2 kt</t>
  </si>
  <si>
    <t>B2785 VB019 1CA 5/2 kt</t>
  </si>
  <si>
    <t>SA259024ACVC VB001 2CA 10/2 kt</t>
  </si>
  <si>
    <t>BUM006AER30-AA VB032 12T  7/2</t>
  </si>
  <si>
    <t>1-3#</t>
  </si>
  <si>
    <t>BC04 vb062 2ca 5/2</t>
  </si>
  <si>
    <t>B0281 vb069 2ca  6/2</t>
  </si>
  <si>
    <t>B1067 VA127 KT</t>
  </si>
  <si>
    <t>B07B VA127 45T 4/3,NKHO</t>
  </si>
  <si>
    <t>B11B(HP60/ERT40)  VA001 1CA 6/2</t>
  </si>
  <si>
    <t>1-2#</t>
  </si>
  <si>
    <t>BC03-OE  VB065 2CA 6/2</t>
  </si>
  <si>
    <t>SA170299A(C60/M20/ETB20-U) VA001  2CA 7/2</t>
  </si>
  <si>
    <t>BPL(20)1068 VA010 1CA 6/2  KT</t>
  </si>
  <si>
    <t>BOC07B VA006 1CA 6/2  KT</t>
  </si>
  <si>
    <t>B1067 VA127 2T 6/2  4*10 KT</t>
  </si>
  <si>
    <t>BVA004A VA018U 17T  8/2  KT</t>
  </si>
  <si>
    <t>BFC21-44(BM) UVA002  1CA 6/2 KT</t>
  </si>
  <si>
    <t>BCVC(40ETB)104 VA051 1T 8/2  0*7</t>
  </si>
  <si>
    <t>BCVC(40ET)0209 VB010 1T 8/2  KT</t>
  </si>
  <si>
    <t>BCVC0210 VB011  1CA 6/2  KT</t>
  </si>
  <si>
    <t>B1NA13 VB009 XY  2T 8/2  14*16</t>
  </si>
  <si>
    <t>BC04 VB062 2CA 6/2  KT</t>
  </si>
  <si>
    <t>B2785(C60/ETB40) VB002  2CA 7/2  0*4</t>
  </si>
  <si>
    <t>B1068  VA133 1CA 7/2</t>
  </si>
  <si>
    <t>BOC0214 VB003  11T 22/2</t>
  </si>
  <si>
    <t>B1120 VA001  1CA 7/2</t>
  </si>
  <si>
    <t>B0210  VB126 1CA 9/2</t>
  </si>
  <si>
    <t>B2NA009  VB002 SỢI X 1CA 7/2</t>
  </si>
  <si>
    <t xml:space="preserve">BC02 VB091 </t>
  </si>
  <si>
    <t>BSB4041AERT50/C25/R25-EY-U vb006 SỢI X 2CA 13/2</t>
  </si>
  <si>
    <t>BCA8847 UVA001  1CA 14/2</t>
  </si>
  <si>
    <t>B0278 VB070 5T 9/2</t>
  </si>
  <si>
    <t>B1068 VA134 1T 3/3</t>
  </si>
  <si>
    <t>B1069(OC80/ERT20-AA) VB005 1.5T 7/2  5*7</t>
  </si>
  <si>
    <t>B1124(RE100) VA001 1CA 7/2  0*4</t>
  </si>
  <si>
    <t>B0281 VB069 2CA 7/2  KT</t>
  </si>
  <si>
    <t>B2401(AA) VB020  2T  7/2 10*16 KT</t>
  </si>
  <si>
    <t>B2ANA009  VB002  XY  1CA 8/2  2*3</t>
  </si>
  <si>
    <t xml:space="preserve">SGR92083B  VB135  1CA 8/2  </t>
  </si>
  <si>
    <t>SGR92083B(BPM20)  VB025UB  1CA 7/2  KT</t>
  </si>
  <si>
    <t>BCR0208  3JVB007 7T 6/2 KT</t>
  </si>
  <si>
    <t>SA249382AC60/T30/OCN10 VB001 1CA 7/2</t>
  </si>
  <si>
    <t>SO239188ABM VB001  1CA  7/2  KT</t>
  </si>
  <si>
    <t>B2832 VB002 2CA  9/2</t>
  </si>
  <si>
    <t>B2347 VB078 1CA 10/2</t>
  </si>
  <si>
    <t>B2347(C60/M20/ETB20) vb001 2ca 9/2</t>
  </si>
  <si>
    <t>BA37L(U)  VA158  2CA 9/2</t>
  </si>
  <si>
    <t>B09B  VA102  1CA 10/2</t>
  </si>
  <si>
    <t>BCVC0208  VB045 6T 10/2</t>
  </si>
  <si>
    <t>B0278 VB070 5T 8/2 kt</t>
  </si>
  <si>
    <t>B0208(GC100)  VB004  2CA  8/2  2*3</t>
  </si>
  <si>
    <t>B2818  VB005  1CA 10/2 kt</t>
  </si>
  <si>
    <t>BCA2367  VB001  1CA  8/2 kt</t>
  </si>
  <si>
    <t>BOC1069 VB013 2T 8/2  15*16  kt</t>
  </si>
  <si>
    <t>BA1ND07(C60/ETB40) VA002 SỢI X-XY  2CA 12/2  3*4</t>
  </si>
  <si>
    <t>BCVC11B VA131 1.5T 12/2 7*10</t>
  </si>
  <si>
    <t>B1052  VA038  2CA 8/2  0*7 kt</t>
  </si>
  <si>
    <t>B1019  VA123  1CA 11/2 kt</t>
  </si>
  <si>
    <t>B1124(C60/ETB40) JUVA022M1 2ca 9/2 kt</t>
  </si>
  <si>
    <t>BCA0210 VB001  1CA 8/2 KT</t>
  </si>
  <si>
    <t>SO259022ABM  VB001  1CA 10/2</t>
  </si>
  <si>
    <t>BTC0209(AA)  VB005  1CA  11/2</t>
  </si>
  <si>
    <t>BPM(50)1068 VA005  2CA  9/2</t>
  </si>
  <si>
    <t>B2782 VB011  2CA 10/2</t>
  </si>
  <si>
    <t>B0201  VB015 1CA 21/2</t>
  </si>
  <si>
    <t>BFC21-44  VA002  1CA  9/2</t>
  </si>
  <si>
    <t>BC03 VB066 1CA 8/2 kt</t>
  </si>
  <si>
    <t>SO17056F VB019 1T  11/2  kt</t>
  </si>
  <si>
    <t>SO27089A VB008 1T 11/2  kt</t>
  </si>
  <si>
    <t>B0285 vb022 6T  10/2  kt</t>
  </si>
  <si>
    <t xml:space="preserve">B0285 VB022 6T  10/2  kt </t>
  </si>
  <si>
    <t>SGR92083B(BPM20)-RM  VB009 1CA 9/2 kt</t>
  </si>
  <si>
    <t>BOCC03 VB013 4T 10/2  16*23  kt</t>
  </si>
  <si>
    <t>SO241795BBPM VB001 1CA 12/2  kt</t>
  </si>
  <si>
    <t>BVA004N  VA006 2CA 10/2  KT</t>
  </si>
  <si>
    <t>BSB4041AERT50/C25/R25-EY-U vb006  XY  2T  17/2 KT</t>
  </si>
  <si>
    <t>B2652(AA) VA049 1T 11/2  KT</t>
  </si>
  <si>
    <t>B06A(FH18)(T65/TE35-AA) va010  1ca 10/2  KT</t>
  </si>
  <si>
    <t>SA219061C VB031  1CA 11/2</t>
  </si>
  <si>
    <t>B2366(OCN) VB008  1CA 11/2</t>
  </si>
  <si>
    <t>B04B VA102 CHẠY TRC 50LB 1CA  11/2</t>
  </si>
  <si>
    <t>B2452 VB007  3*8  11/2</t>
  </si>
  <si>
    <t>SB249161AU VA001  1CA 11/2</t>
  </si>
  <si>
    <t>B8847    UVA002 1CA 12/2</t>
  </si>
  <si>
    <t>B8847    UVA002-A   1CA  12/2</t>
  </si>
  <si>
    <t>B1062    UVA023 2CA  13/2</t>
  </si>
  <si>
    <t>BPM0210 VB031  2CA 12/2</t>
  </si>
  <si>
    <t>16# XONG DỜI BOC0214 qua 16# chạy đề trống máy</t>
  </si>
  <si>
    <t>SO239188A VB004 1CA 11/2  kt</t>
  </si>
  <si>
    <t>B0210 VB127  1ca  10/2  kt</t>
  </si>
  <si>
    <t>SA209356BC60/ERT40-EY VB003 SỢI X- XY 2CA 12/2 0*3</t>
  </si>
  <si>
    <t>B0202(AA) VB031  1CA 12/2</t>
  </si>
  <si>
    <t>đổi CNM XY</t>
  </si>
  <si>
    <t>B04B VA100 32T  10/2   kt</t>
  </si>
  <si>
    <t>SB249207ABP-U  VA002  1CA 11/2  kt</t>
  </si>
  <si>
    <t>B1124 VA013 35T 11/2 kt</t>
  </si>
  <si>
    <t>BOC12B  VA004  2CA  11/2  0*4</t>
  </si>
  <si>
    <t>BUM051AER30-AA-U    VA007  1ca 12/2</t>
  </si>
  <si>
    <t>SO259043A VB001  1CA 12/2</t>
  </si>
  <si>
    <t>B2621 VB078  1CA  12/2</t>
  </si>
  <si>
    <t>BOC0214 VB003 19/2</t>
  </si>
  <si>
    <t xml:space="preserve">B1124(C60/ETB40) 3JUVA023 5T 12/3 </t>
  </si>
  <si>
    <t>B1069 VA196 5T  NKHO 13/2</t>
  </si>
  <si>
    <t>B1069 VA198 9T 20/2</t>
  </si>
  <si>
    <t>B1029P(EA30)  VA020 1T 14/2</t>
  </si>
  <si>
    <t>B04B(AA) VA102 3T 16/2</t>
  </si>
  <si>
    <t>B1124 VA013 15/2  kt</t>
  </si>
  <si>
    <t>B1124 VA013 15/2 kt</t>
  </si>
  <si>
    <t>B04B VA100 21T NKHO kt</t>
  </si>
  <si>
    <t>B05-OE VB072 1T 7/2  KT</t>
  </si>
  <si>
    <t>B0202 VB031 1CA 12/2</t>
  </si>
  <si>
    <t>1-1#</t>
  </si>
  <si>
    <t>CNM  XY</t>
  </si>
  <si>
    <t>SO259022A  VB001  1CA 12/2</t>
  </si>
  <si>
    <t>B0202  VB030 1CA 14/2</t>
  </si>
  <si>
    <t>B2878(C50/RE50-AA)   TJVB001UB  3T  12/2  30*31</t>
  </si>
  <si>
    <t>SO152767C(XY) VB066 XY  2CA 12/2  0*3</t>
  </si>
  <si>
    <t>SGR4015D(BPM) VB004  1T 13/2  2*8</t>
  </si>
  <si>
    <t>BM0208 VB031 7T 23/2</t>
  </si>
  <si>
    <t>SO152767C(XY) VB066 SỢI X 1CA 12/2  kt</t>
  </si>
  <si>
    <t>SGR41667A(CVC20-XY) VB042 SỢI X 2T  12/2  5*7</t>
  </si>
  <si>
    <t>BVA004A  VA019  2CA 13/2  kt</t>
  </si>
  <si>
    <t>B1114 VA017  12T 12/2  kt</t>
  </si>
  <si>
    <t>B1029P(EA30)  VA020 1T 13/2  3*7</t>
  </si>
  <si>
    <t>BCVC2401(AA) VB002 4T  12/2  23*23</t>
  </si>
  <si>
    <t>B0210 VB125 1T  12/2   6*8</t>
  </si>
  <si>
    <t>B2866(AA) VB002  1CA 13/2</t>
  </si>
  <si>
    <t>B07B(C60/ETB40) va004 4T 21/2,2/3</t>
  </si>
  <si>
    <t>BTC04B  VA007  2CA  13/2</t>
  </si>
  <si>
    <t>BC02-OE vb092 2T 17/2,26/2</t>
  </si>
  <si>
    <t xml:space="preserve">BC03 VB066 </t>
  </si>
  <si>
    <t>B2NO019(OCR)  VB004 2CA 13/2  kt</t>
  </si>
  <si>
    <t>BPM2214 VB006 2CA 13/2  kt</t>
  </si>
  <si>
    <t>BPM(20)2866  VB002  1CA 13/2  kt</t>
  </si>
  <si>
    <t>BM0281(BOC)  VB002  2CA  13/2  0*4  kt</t>
  </si>
  <si>
    <t>B1068 VA134 1T 13/2  3*7</t>
  </si>
  <si>
    <t>B1004 VA197 4T 16/2  lên lại</t>
  </si>
  <si>
    <t>B1069 VA196 7T 14/2</t>
  </si>
  <si>
    <t>B1069(OCN60/ETB40-AA)  VA018  2CA 14/2  0*4</t>
  </si>
  <si>
    <t>B0201  VB015 2CA  13/2 kt</t>
  </si>
  <si>
    <t>B0213  VB025  2CA 14/2</t>
  </si>
  <si>
    <t>B2282  VB034 1.5T 14/2  3*8</t>
  </si>
  <si>
    <t>BNC04C(CVC) VB021  17/2</t>
  </si>
  <si>
    <t>Màu</t>
  </si>
  <si>
    <t>BM12B VA056 8T  17/2</t>
  </si>
  <si>
    <t>BR8847  VA001  1CA  14/2</t>
  </si>
  <si>
    <t>BTC2652(AA)  VA004  2CA 15/2</t>
  </si>
  <si>
    <t>B1069  VA199US  2CA  15/2</t>
  </si>
  <si>
    <t>B1067  VA128  1CA 16/2</t>
  </si>
  <si>
    <t>BA37L(U)  VA159 1CA 13/2</t>
  </si>
  <si>
    <t>BUM006AER30-AA VA034 1T 14/2   3*8  KT</t>
  </si>
  <si>
    <t>B0210(OCR)  VB012  1.5T 16/2  6*16</t>
  </si>
  <si>
    <t>B2214 VB115  1T 15/2  4*8</t>
  </si>
  <si>
    <t>B0285(OCR)  VB001  1CA 14/2  KT</t>
  </si>
  <si>
    <t>SO241795BCVC vb001  1ca  14/2  KT</t>
  </si>
  <si>
    <t>BCVC04B  UVA077 1.5T 15/2  6*10</t>
  </si>
  <si>
    <t>SA229142AU  VA010 1T 14/2  4*7</t>
  </si>
  <si>
    <t>BVA004A VA020U 1.5T  14/2  6*8</t>
  </si>
  <si>
    <t>B06A(FH18)(M50/C45/OC5-AA) VA008 1CA 14/2  KT</t>
  </si>
  <si>
    <t>BRC04 VB007  1CA  15/2</t>
  </si>
  <si>
    <t>BRC02  VB005  1CA 15/2</t>
  </si>
  <si>
    <t xml:space="preserve"> B0279 vb041 2ca 5/3</t>
  </si>
  <si>
    <t>BNC04C(CVC) VB021  16/2</t>
  </si>
  <si>
    <t>BM(100M)1029 VA001  2CA 17/2</t>
  </si>
  <si>
    <t>BTR0208 VB001  1CA  17/2</t>
  </si>
  <si>
    <t>BNC04(ZR) VB005  1CA 16/2  0*3</t>
  </si>
  <si>
    <t>B2793 VB009 2T  18/2  2*16</t>
  </si>
  <si>
    <t>SO259015D 3JVB001H 2ca 16/2 4*8</t>
  </si>
  <si>
    <t>BCVC0202  VB001  1CA 16/2  0*4</t>
  </si>
  <si>
    <t>BA37L(C60/ERT40-AA-U) VA009 2CA 15/2  0*4</t>
  </si>
  <si>
    <t>B1004 VA197  4T 16/2  18*23</t>
  </si>
  <si>
    <t>BOC06B VA001  1CA 17/2 kt</t>
  </si>
  <si>
    <t>SA170299A(BM100-AA-U) va004 1ca 16/2  0*4</t>
  </si>
  <si>
    <t>B2881 VB004 1CA 18/2</t>
  </si>
  <si>
    <t>BC02 VB091 36T  17/2</t>
  </si>
  <si>
    <t>B0212 VB049  1T   21/2</t>
  </si>
  <si>
    <t>B0280 VB039 1.5T 19/2</t>
  </si>
  <si>
    <t>B2366 VB062 7T 20/2</t>
  </si>
  <si>
    <t>SB249161ABM100-U VA001  1CA 22/2</t>
  </si>
  <si>
    <t>BOC2659 VA001  2CA 17/2</t>
  </si>
  <si>
    <t>B2652 VA051 2CA 17/2</t>
  </si>
  <si>
    <t>BC02  VB093</t>
  </si>
  <si>
    <t>BPM2366 VB007 2CA 19/2</t>
  </si>
  <si>
    <t>B2452 VB007  SOI A  2CA   20/2</t>
  </si>
  <si>
    <t>BNC01(OCN) VB002 1CA 18/2</t>
  </si>
  <si>
    <t>B2796(GC100)  VB002 1CA 21/2</t>
  </si>
  <si>
    <t>SO202477E  VB019  1CA 18/2  kt</t>
  </si>
  <si>
    <t>SA219061C  VB032 2CA 17/2  2*3</t>
  </si>
  <si>
    <t>SGR92083B(BPM20) VB026 2.5T 17/2  21*23</t>
  </si>
  <si>
    <t>B0278(C60/ETB40) 3JVB003 5T 17/2  29*31</t>
  </si>
  <si>
    <t>B0213(C60/ETB40) VB007  2CA 18/2 kt</t>
  </si>
  <si>
    <t>BUM047AER30-AA-U VA007 2CA 18/2  kt</t>
  </si>
  <si>
    <t>SA200871AU VA070 8T 17/2  kt</t>
  </si>
  <si>
    <t>B1069(OCN) VA052 1T  19/2  2*7</t>
  </si>
  <si>
    <t>B04B(AA)    3JUVA102 2T  17/2  14*16</t>
  </si>
  <si>
    <t>SA239394ABP-U VA007  1T  21/2  5*7</t>
  </si>
  <si>
    <t>SGR41668A(CVC5-U) VA035 8T 19/2</t>
  </si>
  <si>
    <t>B07B(C60/ETB40) VA004 3.5T  18/2  16*23</t>
  </si>
  <si>
    <t>B06B VA064 1CA 19/2</t>
  </si>
  <si>
    <t>BCVC104  VA059 1.5T 19/2</t>
  </si>
  <si>
    <t xml:space="preserve">SA170299AU VA038 </t>
  </si>
  <si>
    <t xml:space="preserve">SGR92083B  VB137 CHẠY TRC 26 LB </t>
  </si>
  <si>
    <t>SA192045ACVC-U va004 2T  19/2  9*13</t>
  </si>
  <si>
    <t>B1019 VA123 CHẠY TRC 220.46 LB  0*4 - CÒN LẠI  4.5T 26/2</t>
  </si>
  <si>
    <t>BA37L(BOC-U) VA004 1T 18/2  5*7</t>
  </si>
  <si>
    <t>B0284(OCN)  VA004  1CA 19/2</t>
  </si>
  <si>
    <t>B1034(GC100) VA002GEC  1CA 20/2  kt</t>
  </si>
  <si>
    <t>SA242036BM100-U  VA001  1CA  18/2 3*4</t>
  </si>
  <si>
    <t>B0285(BPM50/OCR50) VB001  1CA 18/2   0*3</t>
  </si>
  <si>
    <t>B0279  VB041  2CA 19/2</t>
  </si>
  <si>
    <t>B2212 VB065 2.5T  20/2  11*16</t>
  </si>
  <si>
    <t>BPM2282 VB002 1CA 18/2  kt</t>
  </si>
  <si>
    <t>BTC0285 VB023 2CA 19/2  1*4</t>
  </si>
  <si>
    <t>B0281(OCR)  VB001  1CA 21/2</t>
  </si>
  <si>
    <t>B05(OCR50)  VB001  1CA 22/2</t>
  </si>
  <si>
    <t>BC02-OE vb092 LÊN LẠI</t>
  </si>
  <si>
    <t>BM(100M)1019 VA010 6T 28/2</t>
  </si>
  <si>
    <t>BC02 VB093   20/2</t>
  </si>
  <si>
    <t>B06G(FH18)(BOC20-AA) TJVB016UBY  42T 10/4</t>
  </si>
  <si>
    <t>B07B(C60/ETB40) va005 2ca 12/3</t>
  </si>
  <si>
    <t>B1029P(EA30) va021 2 ca 18/3</t>
  </si>
  <si>
    <t>B06A(FH18)(T65/TE35-AA)  va011  1ca  1/3</t>
  </si>
  <si>
    <t>B1069 VA198 CHẠY TRC 50LB - CÒN LẠI 9T 22/2</t>
  </si>
  <si>
    <t>SO249196AU JUVA011M1 1ca 21/2</t>
  </si>
  <si>
    <t>SY229305CGC100 VB002GEC 1CA  20/2  kt</t>
  </si>
  <si>
    <t>B2324(GC100)  VB002GEC  1CA  21/2  kt</t>
  </si>
  <si>
    <t>SGR41667A(CVC20-XY) VB042  XY  8T 19/2 kt</t>
  </si>
  <si>
    <t>BCVC2366  VB015 2CA 20/2  0*3</t>
  </si>
  <si>
    <t>BCVC104  VA059 1.5T 20/2  6*9</t>
  </si>
  <si>
    <t>SGR92083B(C60/ERT40-AA)(D)  VB005  2CA 19/2  3*4</t>
  </si>
  <si>
    <t>BCVC0285(BPL) VB004 2CA 20/2</t>
  </si>
  <si>
    <t>B2214 TJVB114UB 7T  22/2</t>
  </si>
  <si>
    <t>B2214 TJVB114UB 7T  24/2</t>
  </si>
  <si>
    <t>B14B VA073 1T 27/2</t>
  </si>
  <si>
    <t>B11B VA092  2CA 20/2</t>
  </si>
  <si>
    <t>BS0278  VB071  1CA 21/2</t>
  </si>
  <si>
    <t>BS0284 VA019  1CA  21/2</t>
  </si>
  <si>
    <t>B1068  VA136  1CA 22/2</t>
  </si>
  <si>
    <t>BC02 VB091 kt</t>
  </si>
  <si>
    <t>BC02  VB093 kt</t>
  </si>
  <si>
    <t>B2621 VB079  2CA 23/2  kt</t>
  </si>
  <si>
    <t>SGR91885D VB013 2CA 20/2  2*3</t>
  </si>
  <si>
    <t>SO196304CCVC  JVB004M1   1CA 21/2  kt</t>
  </si>
  <si>
    <t>BSO4101ABOC10 VB002 1T 20/2  7*8</t>
  </si>
  <si>
    <t>BM(100M)10(AA)  VB007  1CA  21/2  kt</t>
  </si>
  <si>
    <t>B1068(C60/ERT40)  VA001  1CA 20/2  0*4  kt</t>
  </si>
  <si>
    <t>B02B VA128 3T  22/2  17*23</t>
  </si>
  <si>
    <t>SA170299A(U) VA037 5T chạy trước 150LB - còn lại 21/2  4*4+24*31  kt</t>
  </si>
  <si>
    <t>BC15(C60/ERT40) 3JVB001    6T 23/2</t>
  </si>
  <si>
    <t>BTCC02 VB040 5T 21/2  25*31</t>
  </si>
  <si>
    <t>BC02  VB093  21/2</t>
  </si>
  <si>
    <t>BMC03 vb009 1ca 22/2</t>
  </si>
  <si>
    <t xml:space="preserve">B07B VA127 </t>
  </si>
  <si>
    <t>BSA3871ABPM20 VB023 2CA 22/2  1*8</t>
  </si>
  <si>
    <t>BMC03 VB009 2CA 22/2 0*3</t>
  </si>
  <si>
    <t>SA259086A VB001  1CA 21/2  1*3</t>
  </si>
  <si>
    <t>B2366 VB063  1CA 22/2</t>
  </si>
  <si>
    <t>BTE(LF)2879(BOC) VB002 2CA 21/2  kt</t>
  </si>
  <si>
    <t>BCVC(40ETB)104 VA052 1T 23/2 kt</t>
  </si>
  <si>
    <t xml:space="preserve"> B1029P(EA30)  va021  2ca 23/2 2*4</t>
  </si>
  <si>
    <t>SGR82938A(BOC10-U) va019 3T 25/2  18*23</t>
  </si>
  <si>
    <t>BTC12B VA053 8T 24/2</t>
  </si>
  <si>
    <t>SA170299A(CVC-U) VA030 2CA 25/2</t>
  </si>
  <si>
    <t>BM(100M)2347 VB001  2CA 21/2  3*4</t>
  </si>
  <si>
    <t>SO259022ABM100 VB001  1CA  22/2</t>
  </si>
  <si>
    <t>B04B(AA) VA101   23/2</t>
  </si>
  <si>
    <t>B04B(AA) VA101   24/2</t>
  </si>
  <si>
    <t>B04B(AA) VA101   25/2</t>
  </si>
  <si>
    <t>B07B(C60/ETB40) VA005  2CA  26/2</t>
  </si>
  <si>
    <t>B2878 VB002 6T 26/2</t>
  </si>
  <si>
    <t>BM(50)10  VB015  1CA 24/2</t>
  </si>
  <si>
    <t>B2881 VB005 1CA 23/2</t>
  </si>
  <si>
    <t>SO259115B  VB001  1CA 24/2</t>
  </si>
  <si>
    <t>BVA004N JUVA007M1 2CA  21/2</t>
  </si>
  <si>
    <t>B1067(OCN) VA013  5T   24/2  22*31</t>
  </si>
  <si>
    <t>SA155794D(ER10-XY-U) VA014 SỢI X- XY  1T  25/2  6*7</t>
  </si>
  <si>
    <t>SA200871AU va071 2ca 23/2 0*6</t>
  </si>
  <si>
    <t>BPL(20)1068  VA011  2CA  24/2</t>
  </si>
  <si>
    <t>BC02  VB093  22/2 kt</t>
  </si>
  <si>
    <t>SGR92083B(BPM50) JVB008 2.5T  24/2  7*16</t>
  </si>
  <si>
    <t>BPM2656 VB001  1CA  23/2  kt</t>
  </si>
  <si>
    <t>B2786 VB004  2CA   23/2  1*3</t>
  </si>
  <si>
    <t>SO239188BBM100 VB001  1CA  23/2  kt</t>
  </si>
  <si>
    <t>B04B(AA) VA105  1CA 24/2</t>
  </si>
  <si>
    <t>B02B  VA129  2CA  26/2</t>
  </si>
  <si>
    <t>B1004P(EA30)  VA016  2CA 27/2</t>
  </si>
  <si>
    <t>B2866 VB004  1CA  26/2</t>
  </si>
  <si>
    <t>B1124 VA013 35T 2/3</t>
  </si>
  <si>
    <t>BCVC0281 VB012 1CA  28/2</t>
  </si>
  <si>
    <t>SO05106I  VB017  1CA 25/2  KT</t>
  </si>
  <si>
    <t>BC04 VB061  25/2</t>
  </si>
  <si>
    <t>BOC(90)2561  TJVB019UBY  4T  24/2  29*31</t>
  </si>
  <si>
    <t>B2782(C60/ETB40) VB003 4T 24/2  22*23</t>
  </si>
  <si>
    <t>B2878(C50/RE50-AA)  3JVB002UB  2ca 25/2</t>
  </si>
  <si>
    <t>SV239206AC57/M20/ETB20AG3G-U VA002  2CA  23/2  3*4 kt</t>
  </si>
  <si>
    <t>B1124(C60/ETB40) VA023  5T  25/2  27*31</t>
  </si>
  <si>
    <t xml:space="preserve">BVA004QAA VA003  2CA 25/2 </t>
  </si>
  <si>
    <t>BCVC04(BPM)  VA001  2A  26/2</t>
  </si>
  <si>
    <t>SO41269A(U)  VA046   3T  25/2  10*16</t>
  </si>
  <si>
    <t>B09B(ERT65/R35-AA) VA001 1CA  27/2</t>
  </si>
  <si>
    <t>BM02B va010 2ca 1/3</t>
  </si>
  <si>
    <t>SGR92083B(C60/ERT40) VB008  1CA 26/2</t>
  </si>
  <si>
    <t>BC04 VB061  KT</t>
  </si>
  <si>
    <t>BC15(C60/ERT40) vb001 6T 9/3  KT</t>
  </si>
  <si>
    <t>BC02-OE VB094 3T KT</t>
  </si>
  <si>
    <t>B0202 VB032 3T   28/2</t>
  </si>
  <si>
    <t>KT XƠ BẠC</t>
  </si>
  <si>
    <t>B0208 VB064 1T  3/3</t>
  </si>
  <si>
    <t>BC04 VB063  2CA 5/3</t>
  </si>
  <si>
    <t>SA259083ABPM VB001  2CA  2/3</t>
  </si>
  <si>
    <t>SO259087B  VB001  2CA 26/2 0*3</t>
  </si>
  <si>
    <t>SO15163A VB022UB chạy trc 52.91 LB 25/2 0*3</t>
  </si>
  <si>
    <t>B2781(OCR)  VB001  1CA 24/2</t>
  </si>
  <si>
    <t>SA259112B VB001  2CA 24/2</t>
  </si>
  <si>
    <t>SA259113B VB001  2CA 24/2</t>
  </si>
  <si>
    <t>SA259118B VB001  2CA 24/2  kt</t>
  </si>
  <si>
    <t>BCR(30)2214(AA) VB026 2CA  24/2 kt</t>
  </si>
  <si>
    <t>B2347(GC100) VB001  2T  26/2  7*16  kt</t>
  </si>
  <si>
    <t>BPM2781  VB005 2CA 26/2 0*3</t>
  </si>
  <si>
    <t>BPM(50)1067 VB002  2CA 26/2  1*3</t>
  </si>
  <si>
    <t>BCVC11B va132  1T  25/2 6*7</t>
  </si>
  <si>
    <t>B1116 va001  2ca 26/2  2*4</t>
  </si>
  <si>
    <t>SA200871AU VA072 2CA 28/2  3*4</t>
  </si>
  <si>
    <t>B0475(OCR) VA001 1CA  26/2  0*4</t>
  </si>
  <si>
    <t>BOC(90)C02-OE VB094 2CA 1/3 LUKY</t>
  </si>
  <si>
    <t>BCVC0284 VB001  2CA  3/3</t>
  </si>
  <si>
    <t>B0460 VA029 1T 25/2  5*13</t>
  </si>
  <si>
    <t>SO00195C VB003  2.5T  27/2  11*16</t>
  </si>
  <si>
    <t>SO241762ANP VB001  1CA 26/2  kt</t>
  </si>
  <si>
    <t>SGR92083B(CR30-AA) VB020 1T  27/2 KT</t>
  </si>
  <si>
    <t>BC15(C60/ERT40) 3JVB002  2CA 27/2  2*3</t>
  </si>
  <si>
    <t>BTM(50)2657 VB003 3T  26/2 16*17</t>
  </si>
  <si>
    <t>B1068  UVA135 1.5T 26/2  15*16  KT</t>
  </si>
  <si>
    <t>BUM009AERC30-AA VA008  10T 26/2  KT</t>
  </si>
  <si>
    <t>B06A(FH18)(M50/C45/OC5-AA) TJUVA009UBY 1T  27/2   1*8</t>
  </si>
  <si>
    <t>BCVC104 va061  1T 27/2  3*7</t>
  </si>
  <si>
    <t>B07B(GC100) UVA001GEC  2.5T  27/2 13*16</t>
  </si>
  <si>
    <t>SO41269A(BPM20-U) vb023ub  1ca 26/2  2*4</t>
  </si>
  <si>
    <t>BA37L(BOC-U)  VA005  1T   25/2</t>
  </si>
  <si>
    <t>SA229142AU  VA012 2T 26/2  14*16</t>
  </si>
  <si>
    <t>B1004  VA198  2CA  27/2</t>
  </si>
  <si>
    <t>B2294 VB007 8T 28/2</t>
  </si>
  <si>
    <t>BOC2796 VB002 2CA  1/3</t>
  </si>
  <si>
    <t>B0202 VB032 sợi A 3T  27/2   11*16</t>
  </si>
  <si>
    <t>B0208(C60/ETB40) VB021 13T  27/2 kt</t>
  </si>
  <si>
    <t>BPM(20)2214 VB017 1T 1/3 1*8</t>
  </si>
  <si>
    <t>B2656 VB053 2T  27/2  14*16</t>
  </si>
  <si>
    <t>SA249267A VB001 1CA 28/2</t>
  </si>
  <si>
    <t>BM0210 vb007  2ca  28/2 kt</t>
  </si>
  <si>
    <t>B107RET  VB001  1CA  1/3 kt</t>
  </si>
  <si>
    <t>B0210(OCN) VB027  2CA  2/3</t>
  </si>
  <si>
    <t>SO202477E  VB020 1CA 3/3</t>
  </si>
  <si>
    <t>B0284 VA019 1CA 1/3 KT</t>
  </si>
  <si>
    <t>SA259013BCVC-U  VA002 1CA 27/2 3*4</t>
  </si>
  <si>
    <t>BM1020 VA007  2CA  27/2</t>
  </si>
  <si>
    <t>BOC07B VA007 1T  27/2   3*4</t>
  </si>
  <si>
    <t>B0284(OCN)  VA015  3T 1/3  5*16</t>
  </si>
  <si>
    <t>B0423(OCN) va004 1T 1/3  3*8  KT</t>
  </si>
  <si>
    <t>BPM1004  JUVA002  2CA 27/2  0*4</t>
  </si>
  <si>
    <t>B12B VA147</t>
  </si>
  <si>
    <t>SO06093D VB021    2.5T 1/3 10*16  KT</t>
  </si>
  <si>
    <t>B0208  VB064  1T 28/2  7*8</t>
  </si>
  <si>
    <t>BS2635 vb002 1ca 2/3  KT</t>
  </si>
  <si>
    <t>BM0279 VB004  2CA 1/3 KT</t>
  </si>
  <si>
    <t>BM2781 VB007  2CA  2/3 KT</t>
  </si>
  <si>
    <t>BM1115  VA001  1CA  27/2  0*4 kt</t>
  </si>
  <si>
    <t>B1020(C60/ETB40) va007  1ca 1/3  kt</t>
  </si>
  <si>
    <t>B04B VA104 27/2  kt</t>
  </si>
  <si>
    <t>SA200871AU JVA073U 1T 2/3  2*4</t>
  </si>
  <si>
    <t>B1067 va130 10T  17/3  kt</t>
  </si>
  <si>
    <t>SGR82938A(BOC10-U) VA020  3T  28/2  17*23  kt</t>
  </si>
  <si>
    <t>B1016 VA042  1CA 28/2 kt</t>
  </si>
  <si>
    <t>SA249257CBOC-U VA002  1CA 28/2  1*3 kt</t>
  </si>
  <si>
    <t>BFC21-44(BM100) va001  1ca  2/3  kt</t>
  </si>
  <si>
    <t>B1047 VA027  1CA 1/3</t>
  </si>
  <si>
    <t>SO202477E VB021  1CA  9/3</t>
  </si>
  <si>
    <t>SO239188BBM100  VB001-A  1CA  1/3</t>
  </si>
  <si>
    <t>B1068   VA137 1CA  2/3</t>
  </si>
  <si>
    <t>SA215376B  VB021  1CA 1/3 0*3</t>
  </si>
  <si>
    <t>B108RET  VB001  1CA 4/3 kt</t>
  </si>
  <si>
    <t>SGR92083B 3VB136 9T 1/3 kt</t>
  </si>
  <si>
    <t>SA191068BOCR-U  VA003  1CA 3/3 kt</t>
  </si>
  <si>
    <t>B1004P(EA30)  VA017  2CA 3/3 kt</t>
  </si>
  <si>
    <t>SGR41668A(CVC5-U)  VA036  1.5T 2/3  11*16</t>
  </si>
  <si>
    <t>B25(OCR60/T40) VB001 1CA  2/3</t>
  </si>
  <si>
    <t>BUM006AER30-AA VB035 8T  1/3  kt</t>
  </si>
  <si>
    <t>SGR92083B VB137 11T 2/3</t>
  </si>
  <si>
    <t>BM0279 vb005 1ca  3/3</t>
  </si>
  <si>
    <t>BPM2282 VB003 2CA 4/3</t>
  </si>
  <si>
    <t>SO231795A VB002  1CA 3/3</t>
  </si>
  <si>
    <t>B2878 vb003  2ca   2/3</t>
  </si>
  <si>
    <t>B2491 vb004 1T  5/3</t>
  </si>
  <si>
    <t>BPL(20)1068 VA012  1CA  2/3</t>
  </si>
  <si>
    <t>BA37L(BOC-U) VA005 SỢI B 1T  4/3</t>
  </si>
  <si>
    <t>B1067 VA130 SỢI B 1.5T 3/3  1*9</t>
  </si>
  <si>
    <t>BOC(90)C02-OE VB094 2CA 1/3 LUKY CHẠY LẠI</t>
  </si>
  <si>
    <t>BC02 VB095 1T 3/3</t>
  </si>
  <si>
    <t>BC15(C60/ERT40) vb002  KT</t>
  </si>
  <si>
    <t>B0202 VB032 SỘI B  3/3</t>
  </si>
  <si>
    <t>BTR(30)0210 VB001  1CA 5/3</t>
  </si>
  <si>
    <t>B2621 vb080 3T   4/3  11*23</t>
  </si>
  <si>
    <t xml:space="preserve">SO00195C VB002 26T 24/3 </t>
  </si>
  <si>
    <t>B04B VA106</t>
  </si>
  <si>
    <t>B1067-OE 3UVA129  1T 3/3</t>
  </si>
  <si>
    <t>B1068 VA135  1.5T  28/2 KT</t>
  </si>
  <si>
    <t>B0281(OCN60/ETB40) VB002  2CA  2/3</t>
  </si>
  <si>
    <t>SGR4015D(BPM) VB005 2CA 4/3</t>
  </si>
  <si>
    <t>BC02 VB095 1T 4/3  kt</t>
  </si>
  <si>
    <t>BC04 VB063 2ca 5/3 KT</t>
  </si>
  <si>
    <t>B2793 vb010  1T 7/3  3*8</t>
  </si>
  <si>
    <t>BM2881 VB001  1CA 3/3  KT</t>
  </si>
  <si>
    <t>SO206427I VB029 2T 5/3  11*16</t>
  </si>
  <si>
    <t>BRC04 VB008  2T  4/3 13*17</t>
  </si>
  <si>
    <t>B0281 VB070  1CA 3/3 0*3</t>
  </si>
  <si>
    <t>SGR82938A(BOC10-U) 3JUVA018 20T 5/3</t>
  </si>
  <si>
    <t>SGR81831A(U) VA008  1CA 4/3</t>
  </si>
  <si>
    <r>
      <t xml:space="preserve">SO41269A(BPM20-U) JUVA023UB </t>
    </r>
    <r>
      <rPr>
        <b/>
        <sz val="13"/>
        <color theme="3" tint="0.39997558519241921"/>
        <rFont val="Times New Roman"/>
        <family val="1"/>
      </rPr>
      <t>XY</t>
    </r>
    <r>
      <rPr>
        <sz val="13"/>
        <color rgb="FFFF0000"/>
        <rFont val="Times New Roman"/>
        <family val="1"/>
      </rPr>
      <t xml:space="preserve"> 2ca 3/3  KT</t>
    </r>
  </si>
  <si>
    <t>B02B VA130 1T 3/3  1*4</t>
  </si>
  <si>
    <t>SA192045ACVC-U VA005  2CA  3/3  KT</t>
  </si>
  <si>
    <t>BCVC109 VA007  1.5T  5/3  7*16</t>
  </si>
  <si>
    <t>BR1004  3JUVA004 6T  7/3</t>
  </si>
  <si>
    <t>BC02(OCR) VB005  3T  5/3</t>
  </si>
  <si>
    <t>B2879 VB004  1CA  9/3 kt</t>
  </si>
  <si>
    <t>SGR92083B(C60/ERT40-AA) VB010 1CA5/3 kt</t>
  </si>
  <si>
    <t>B2212 vb066  2ca  4/3 0*3</t>
  </si>
  <si>
    <t>BTC1004 vav009  1ca 4/3  kt</t>
  </si>
  <si>
    <t>B1052  VA039  1CA  5/3  kt</t>
  </si>
  <si>
    <t>B1067(OCN) VA014  1T  8/3  5*8 kt</t>
  </si>
  <si>
    <t>SGR82938A(BOC10-U) 3JUVA018 20T 5/3 kt</t>
  </si>
  <si>
    <r>
      <t xml:space="preserve">BOC07B VA007   </t>
    </r>
    <r>
      <rPr>
        <sz val="13"/>
        <color rgb="FFFF0000"/>
        <rFont val="Times New Roman"/>
        <family val="1"/>
      </rPr>
      <t>1T 5/3   1*4</t>
    </r>
  </si>
  <si>
    <t>B1069(OCN) VA053 1CA  5/3</t>
  </si>
  <si>
    <t>SA240274ACVC  VB005 9T  7/3</t>
  </si>
  <si>
    <t>B2214 VB116 9T  7/3</t>
  </si>
  <si>
    <t>B0201 vb017 2ca  28/3</t>
  </si>
  <si>
    <t>B05-OE VB074 2CA 10/3 KT</t>
  </si>
  <si>
    <t>BC02(OCR) VB005  2CA 3/3 KT</t>
  </si>
  <si>
    <t>SGR92083B(C60/ERT40-AA)(D) VB006 1CA  5/3</t>
  </si>
  <si>
    <t>SO250232ANP vb001 2ca 7/3</t>
  </si>
  <si>
    <t>B0208 vb065  2ca 29/3</t>
  </si>
  <si>
    <t>SO250246BNP vb001 2a 7/3</t>
  </si>
  <si>
    <t>B0213 VB026 2CA  8/3</t>
  </si>
  <si>
    <t>B03(D) TJVB011UB 2T 5/3  12*16</t>
  </si>
  <si>
    <t>B0210 VB128 2CA 7/3</t>
  </si>
  <si>
    <t>SGR92083B VB128 2CA 6/3  0*8</t>
  </si>
  <si>
    <t>SA259013BCVC-U va003 2ca 4/3 3*4 kt</t>
  </si>
  <si>
    <t>B1069 VA201   2CA 6/3 kt</t>
  </si>
  <si>
    <t>B1068(OCN)  VA015  1CA 6/3 kt</t>
  </si>
  <si>
    <t>SA200871AU VA074 3T 5/3  11*16 kt</t>
  </si>
  <si>
    <t xml:space="preserve">B2656  3JVB054  2T  13/3  </t>
  </si>
  <si>
    <t>B0201  VB016  1CA 8/3  kt</t>
  </si>
  <si>
    <t>B0283 VB042  1CA 6/3</t>
  </si>
  <si>
    <t>SO41269A(BPM20-U) VA024 2CA  6/3</t>
  </si>
  <si>
    <t>B1115 VA012  2.5T  9/3</t>
  </si>
  <si>
    <t>BCVC04B  VA078  1T 7/3</t>
  </si>
  <si>
    <t>B1067 VA131  16/3</t>
  </si>
  <si>
    <t>B0284 VA020  1T  9/3</t>
  </si>
  <si>
    <t>SO259098B VB001  2CA 7/3 kt</t>
  </si>
  <si>
    <t>B2367 VB036   2CA 6/3  0*3</t>
  </si>
  <si>
    <t>B0279 VB042  5.5T  6/3 22*23</t>
  </si>
  <si>
    <t>BCVC0208 VB046 1.5T    6/3  14*16</t>
  </si>
  <si>
    <t>B2294  VB008 2CA 6/3  0*3</t>
  </si>
  <si>
    <t>SO17056F VB020  2CA 8/3</t>
  </si>
  <si>
    <t>B1047P(EA30-AA)  VA003  1CA 6/3 KT</t>
  </si>
  <si>
    <t>B02B VA131  1CA 6/3 KT</t>
  </si>
  <si>
    <t>B06A(FH18)(T65/TE35-AA)  va012  1ca  8/3  KT</t>
  </si>
  <si>
    <t>B0284 VA020  1T  10/3  0*4</t>
  </si>
  <si>
    <t>B1069(OCN) VA054  1CA 7/3</t>
  </si>
  <si>
    <t>B1052P(EA30) VA008  2CA  8/3</t>
  </si>
  <si>
    <t>SGR92083B(BPM20) vb027  2ca 6/3</t>
  </si>
  <si>
    <t>SA209082BOCN10 VB017  2CA 8/3</t>
  </si>
  <si>
    <t>B0294(C60/ETB40)  VB002    10/3</t>
  </si>
  <si>
    <t>BC04 VB061    7/3</t>
  </si>
  <si>
    <t>B0279 VB042 5.5T 13/3 kt</t>
  </si>
  <si>
    <t>B2621(OCN)   VB008  2T  7/3  13*16</t>
  </si>
  <si>
    <t xml:space="preserve">B05 VB073 22T 8/3 </t>
  </si>
  <si>
    <t>B1068 VA138 6T 30/3, NKHO</t>
  </si>
  <si>
    <t>B0281 vb071  2ca  29/3</t>
  </si>
  <si>
    <t>SA249267ABOC VB002  1CA 7/3 kt</t>
  </si>
  <si>
    <t>BOC2796 VB003 3T  8/3  12*16</t>
  </si>
  <si>
    <t>B2347 VB080 1T  10/3 kt</t>
  </si>
  <si>
    <t>B2804 VB025 2CA 8/3  1*3</t>
  </si>
  <si>
    <t>BTCC02 3JVB041  1T  8/3  4*8</t>
  </si>
  <si>
    <t>SO259110C VB001  2CA 9/3 kt</t>
  </si>
  <si>
    <t>B2366 VB064  1CA 7/3 8/3</t>
  </si>
  <si>
    <t>B0423(OCN)  VA005   4T  6/3 15*16 kt</t>
  </si>
  <si>
    <t>BCVC04B  VA078  1T  7/3  0*6  kt</t>
  </si>
  <si>
    <t>BCVC104 VA062  1T  10/3</t>
  </si>
  <si>
    <t>B0281(OCN) vb008 1T 12/3</t>
  </si>
  <si>
    <t>B2782 VB012  1T 8/3  3*8</t>
  </si>
  <si>
    <t>B1067  VA131 9T 9/3</t>
  </si>
  <si>
    <t>BC04 VB061 8/3 KT</t>
  </si>
  <si>
    <t>B1004 VA199 1ca 10/3</t>
  </si>
  <si>
    <t>SA170299A(U) VA038  2T  9/3</t>
  </si>
  <si>
    <t>BCVC0284  VB002  2CA 10/3</t>
  </si>
  <si>
    <t>SGR52777A-2 vb006  2ca  9/3  0*3</t>
  </si>
  <si>
    <t>B2214 VB017 1T  8/3   7*8</t>
  </si>
  <si>
    <t>B2656 VB055 1T  11/3</t>
  </si>
  <si>
    <t>B2866  VB005 1CA 12/3</t>
  </si>
  <si>
    <t>B2366 VB065  1CA 12/3</t>
  </si>
  <si>
    <t>BNC04C(ZR)  JVB006  2T  11/3  3*16</t>
  </si>
  <si>
    <t>B05 VA073 21T 8/3  kt</t>
  </si>
  <si>
    <t>B2347(GC100) VB002GEC  3T  11/3  7*16</t>
  </si>
  <si>
    <t>BTC0285 VB024  2CA  9/3  1*8</t>
  </si>
  <si>
    <t>SO259171B VB001 2CA   8/3  1*3</t>
  </si>
  <si>
    <t>B0201  VB017  1CA 9/3</t>
  </si>
  <si>
    <t>B0208 vb065 2ca 10/3</t>
  </si>
  <si>
    <t>SO27089A  VB009  1CA  9/3  kt</t>
  </si>
  <si>
    <t>BCR(30)2214(AA) VB027   5T  11/3  26*34</t>
  </si>
  <si>
    <t>BA37L(C60/ERT40-AA-U) VA010  1T 10/3   0*7</t>
  </si>
  <si>
    <t>B04B VA106 mẫu lớn k đạt dừng kt</t>
  </si>
  <si>
    <t>B1115 VA012  2.5T  8/3 13*16</t>
  </si>
  <si>
    <t>B1020 VA054  2CA  9/3</t>
  </si>
  <si>
    <t>SA170299A(U) va038 2T  9/3  8*13</t>
  </si>
  <si>
    <t>B0210 VB129  2CA  9/3</t>
  </si>
  <si>
    <t>B0210(OCN) VB028 1T 13/3</t>
  </si>
  <si>
    <t>B0294(C60/ETB40)  VB002    9/3</t>
  </si>
  <si>
    <t>B1124P(EA30-AA) VA006 12 BÚP 11/3</t>
  </si>
  <si>
    <t>BCR(30)2214A VB028 3T  10/3  7*16</t>
  </si>
  <si>
    <t>BC04 VB065  2CA 23/3</t>
  </si>
  <si>
    <t>SO259198BC60/RE40 VB001  1CA 11/3</t>
  </si>
  <si>
    <t>SGR92083B(CR30-AA) VB022 1T  12/3  0*8</t>
  </si>
  <si>
    <t>SGR92083B(CR30) vb021 3T   12/3  16*23</t>
  </si>
  <si>
    <t>SA259169ABPM VB001  1CA  13/3</t>
  </si>
  <si>
    <t>B0281  VB071 2CA  13/3  kt</t>
  </si>
  <si>
    <t>SO206427I VB031 1.5T 13/3  kt</t>
  </si>
  <si>
    <t>BOC2781 VB002  6T  18/3</t>
  </si>
  <si>
    <t>BM2650 VB004  1T  12/3 3*8</t>
  </si>
  <si>
    <t>BM(50)2212 VB001  2CA 13/3</t>
  </si>
  <si>
    <t>B0279 VB043 1CA 14/3 kt</t>
  </si>
  <si>
    <t>SO206427I VB030  5T  16/3 ngừng</t>
  </si>
  <si>
    <t>SA219061C  VB033  2CA 11/3 2*3</t>
  </si>
  <si>
    <t>B06A(FH18)(M50/C45/OC5-AA) va010 1.5T 14/3 KT</t>
  </si>
  <si>
    <t>BCVC(40ETB)104  va053  2ca  12/3 KT</t>
  </si>
  <si>
    <t>B04B(AA)  VA108  SỢI A- SỢI B 1T 14/3 0*5+5</t>
  </si>
  <si>
    <t>B1068(OCN) VA015  2CA  13/3 KT</t>
  </si>
  <si>
    <t>SA191068BOCR-U va003  2ca  24/3</t>
  </si>
  <si>
    <t>B06A(FH18)(BOC10) VA096   13/3</t>
  </si>
  <si>
    <t>B06A(FH18)(BOC10) VA096   14/3</t>
  </si>
  <si>
    <t>B0208 vb066 1T  2/4</t>
  </si>
  <si>
    <t>B0293 VB017 1CA 15/3</t>
  </si>
  <si>
    <t>B2829 VB004  2CA  13/3</t>
  </si>
  <si>
    <t>B2452 VB008  1CA 13/3</t>
  </si>
  <si>
    <t>SGR82938A(BOC10-U) VA021 14T 14/3</t>
  </si>
  <si>
    <t>SGR82938A(BOC10-U) VA021 14T 15/3</t>
  </si>
  <si>
    <t>SA191068BOCR-U va003  2ca  15/3</t>
  </si>
  <si>
    <t>B2652 va052  2ca  3/4</t>
  </si>
  <si>
    <t>SA192462AU VA014  1T  2/4</t>
  </si>
  <si>
    <t>B0208(C60/ETB40) vb022  1T  12/3  0*8  kt</t>
  </si>
  <si>
    <t>SO259192AC60/RE40 VB001  1CA 13/3 kt</t>
  </si>
  <si>
    <t>SGR92083B  VB139  2CA 12/3 kt</t>
  </si>
  <si>
    <t>BA37L(U) TJUVA160UB  4T 14/3 21*23</t>
  </si>
  <si>
    <t>BCVC1019  VA044  1CA  13/3</t>
  </si>
  <si>
    <t>SA170299A(U) VA039  1T   20/3</t>
  </si>
  <si>
    <t xml:space="preserve">B09B VA103  5T 13/3 </t>
  </si>
  <si>
    <t>B0284  VA021  1CA  14/3</t>
  </si>
  <si>
    <t>B09B VA103  5T 12/3</t>
  </si>
  <si>
    <t>BCVC1019 VA044 1CA 13/3</t>
  </si>
  <si>
    <t>BCVC12B VA073 1CA  14/3</t>
  </si>
  <si>
    <t>B1052 VA041  1CA  13/3</t>
  </si>
  <si>
    <t>SA170299A(U) VA039  2CA 14/3</t>
  </si>
  <si>
    <t>BCVC04B va079  2ca  15/3</t>
  </si>
  <si>
    <t>BM0284 VA019  1T 18/3</t>
  </si>
  <si>
    <t>B07B VA127 45T 20/3</t>
  </si>
  <si>
    <t>B09B(C60/ERT40) va002  2ca 25/3</t>
  </si>
  <si>
    <t>B0278 VB072  2T  4/4</t>
  </si>
  <si>
    <t>SO259186AC60/RE40 VB001  1CA  14/3  kt</t>
  </si>
  <si>
    <t>BSO4101ABOC10 vb003 3T 13/3  22*23</t>
  </si>
  <si>
    <t>SGR91885D VB014  1T  13/3  6*8</t>
  </si>
  <si>
    <t>BTE(LF)2366 vb001  1ca  12/3  0*3  kt</t>
  </si>
  <si>
    <t>B2366 VB066 1CA 15/3  kt</t>
  </si>
  <si>
    <t>BPL(20)1068  VA013  1CA  17/3 kt</t>
  </si>
  <si>
    <t>B1069  VA200 2CA 16/3 0*4</t>
  </si>
  <si>
    <t>BCVC12B  VA073  1CA  14/3  2*4</t>
  </si>
  <si>
    <t xml:space="preserve"> THIẾT BỊ TIỂU TU 1 ngày chỉnh cự ly 10  13/3</t>
  </si>
  <si>
    <t>B07B(GC100) VA002GEC  1CA  15/3</t>
  </si>
  <si>
    <t>B09B(C60/ERT40-AA) va002  1ca  15/3</t>
  </si>
  <si>
    <t>B14B VA074 1T  18/3</t>
  </si>
  <si>
    <t>B09B  VB104 6T 4/4,7/4</t>
  </si>
  <si>
    <t>SO00195C VB004 19/3</t>
  </si>
  <si>
    <t>BC02(OCR) VB006 3T  14/3  21*23+3</t>
  </si>
  <si>
    <t>SO259151AHP100 VB001  2CA 16/3 kt</t>
  </si>
  <si>
    <t>BM0208 VB032  1T  15/3   4*8</t>
  </si>
  <si>
    <t>B2207(OCN) VB005  2CA  14/3 kt</t>
  </si>
  <si>
    <t>B0295(RE100) VB003 4T  16/3 21*26</t>
  </si>
  <si>
    <t>B1047  VA028  1CA 14/3  0 *3</t>
  </si>
  <si>
    <t>B1052  VA041  1CA  17/3  0*4</t>
  </si>
  <si>
    <t>SA248530AETB100-U va001  1ca  14/3  0*4</t>
  </si>
  <si>
    <t>B0293 VB018  1CA 16/3</t>
  </si>
  <si>
    <t>SA259185AC60/RE40 VB001  1CA  18/3</t>
  </si>
  <si>
    <t xml:space="preserve">B0201 VB018 2CA </t>
  </si>
  <si>
    <t>B1124(C60/ETB40) VA025  2CA  4/4</t>
  </si>
  <si>
    <t>BC02  VB093  17/3  kt</t>
  </si>
  <si>
    <t>B2621(OCN) VB009  2T 15/3  8*16 KT</t>
  </si>
  <si>
    <t>B0208 vb066 1T  14/3  5*8 KT</t>
  </si>
  <si>
    <t>BM2366 vb004  1ca  15/3  0*3</t>
  </si>
  <si>
    <t>B2656(C60/RE40-AA) VB001  1CA  16/3</t>
  </si>
  <si>
    <t>SO259127CHP100 VB001  2CA  15/3 3*3+24 BÙ</t>
  </si>
  <si>
    <t>BR0214 vb001  1ca  17/3 KT</t>
  </si>
  <si>
    <t>BTE(LF)1004 VA005  4T  17/3  15*23</t>
  </si>
  <si>
    <t>BPL(20)1068 VA014  1CA  15/3 KT</t>
  </si>
  <si>
    <t>BA37L(CR20-AA-U)  TJUVA009UB 4T 16/3  20*23</t>
  </si>
  <si>
    <t>BCVC(40ETB)104 VA054  1CA  16/3 KT</t>
  </si>
  <si>
    <t>BC03(OCN) VB006 3T  16/3  17*23</t>
  </si>
  <si>
    <t>SA259225AC60/RE40 VB001  1CA 19/3</t>
  </si>
  <si>
    <t>SO00195C VB004 17/3</t>
  </si>
  <si>
    <t>B1068 VA138 5T 19/3</t>
  </si>
  <si>
    <t>B09B(C60/ETB40) VA022  2CA 4/4</t>
  </si>
  <si>
    <t>B2621 VB081    11T    17/3</t>
  </si>
  <si>
    <t>B0210(EA30)  VB003  1CA  18/3</t>
  </si>
  <si>
    <t>B05 VB075</t>
  </si>
  <si>
    <t>BC02  VB097</t>
  </si>
  <si>
    <t>B2FA004 VB001  kt</t>
  </si>
  <si>
    <t>SO152767C(XY) VB067 SỢI X- XY   2CA  16/3 kt</t>
  </si>
  <si>
    <t>BOC2796 VB004  1T 17/3  1*8 kt</t>
  </si>
  <si>
    <t>BC15(C60/ERT40) VB003  1CA 16/3  0*3</t>
  </si>
  <si>
    <t>B0208(ETB65/R35-AA) VB001  1CA  15/3</t>
  </si>
  <si>
    <t>B0281 VB072  2CA 17/3  0*3</t>
  </si>
  <si>
    <t>BCVC0210 VB012  2CA 17/3 KT</t>
  </si>
  <si>
    <t>B1069 VA202  2.5T  18/3  19*23</t>
  </si>
  <si>
    <t>BCVC04B va079  1.5T 18/3  9*16</t>
  </si>
  <si>
    <t>BTE(LF)1069 VA001  1CA  16/3 KT</t>
  </si>
  <si>
    <t>B04B(AA) VA107UB 6T 20/3</t>
  </si>
  <si>
    <t>SA191068BOCR-U  VA005  1CA 21/3</t>
  </si>
  <si>
    <t>BM(100M)2282 VB001  bù 1ca 13/12</t>
  </si>
  <si>
    <t>B2212 vb067  2ca  20/3</t>
  </si>
  <si>
    <t>BC02-OE vb099 5T  29/3 KT</t>
  </si>
  <si>
    <t>BC02(OCR) VB006 3.5T  18/3,27/3 KT</t>
  </si>
  <si>
    <t>BC03  VB067  9/3 KT</t>
  </si>
  <si>
    <t>BPM0210 vb032  1T  18/3  7*8</t>
  </si>
  <si>
    <t xml:space="preserve">B0212 VB050  5T 19/3 27*31 </t>
  </si>
  <si>
    <t>B0278 VB072  4T  19/3  24*31</t>
  </si>
  <si>
    <t>BC03 VB067 17/3 kt</t>
  </si>
  <si>
    <t>B2874 3JVB007 19/3 8*16 kt</t>
  </si>
  <si>
    <t>B2FA005 vb001   kt</t>
  </si>
  <si>
    <t>B2881 VB006 1CA 18/3 0*3</t>
  </si>
  <si>
    <t>B1020 va055  1T  19/3  2*7</t>
  </si>
  <si>
    <t>BM0284 VA019  1T  19/3  2*7</t>
  </si>
  <si>
    <t>B1068(C60/RE40-AA) JUVA001 1CA 19/3  kt</t>
  </si>
  <si>
    <t>BTCC02 VB042  1CA  22/3</t>
  </si>
  <si>
    <t>BC04 VB065  2CA 19/3</t>
  </si>
  <si>
    <t>SO259188AC60/RE40 VB001  1CA  19/3</t>
  </si>
  <si>
    <t>SO27089A VB010  10T 19/3</t>
  </si>
  <si>
    <t>B2347P(EA30) VB001 1CA 19/3</t>
  </si>
  <si>
    <t>B0210(OCR) VB013  1CA 20/3</t>
  </si>
  <si>
    <t>1-14#</t>
  </si>
  <si>
    <t xml:space="preserve"> BC02  VB098 19/3 kt</t>
  </si>
  <si>
    <t>B0201 3JVB018  1.5T  19/3  3*8 kt</t>
  </si>
  <si>
    <t>BC02 VB100 1CA  20/3  KT</t>
  </si>
  <si>
    <t>SO259019A VB001  1T  19/3 7*8</t>
  </si>
  <si>
    <t>SA259209A VB001  2CA  21/3 KT</t>
  </si>
  <si>
    <t>B2561 vb020  2ca  19/3 KT</t>
  </si>
  <si>
    <t>SO229159ABM VB019  2CA  19/3 KT</t>
  </si>
  <si>
    <t>SGR4015D(BR-AA) VB002  3T 21/3  21*26</t>
  </si>
  <si>
    <t>BVA004N VA008  2CA 20/3 kt</t>
  </si>
  <si>
    <t>BC02(OCR) VB008 1CA 19/3 2*3</t>
  </si>
  <si>
    <t>BTE(LF)2201 VB001  1CA 22/3</t>
  </si>
  <si>
    <t>BM(50)07B(AA) VA005  2CA 21/3</t>
  </si>
  <si>
    <t>SO241260A 3JVB010 20T  23/3</t>
  </si>
  <si>
    <t>BNC04C(CVC) vb023</t>
  </si>
  <si>
    <t>BOCC03 VB014  1T  21/3  5*8</t>
  </si>
  <si>
    <t>B3FA001 vb001  kt</t>
  </si>
  <si>
    <t>SO259212A  VB001  1CA 20/3 kt</t>
  </si>
  <si>
    <t>B2282 VB035  3T  21/3  21*23</t>
  </si>
  <si>
    <t>BCVC2621 VB006  2CA 20/3  kt</t>
  </si>
  <si>
    <t>SO259150AHP100 VB001  2CA 20/3  2*3</t>
  </si>
  <si>
    <t>B0281(OCN60/ETB40) vb003  1ca 21/3  1*4</t>
  </si>
  <si>
    <t>B1124 va015 1.5T  20/3  1*8 kt</t>
  </si>
  <si>
    <t>B06A(FH18)(BOC10) VB097  5T  22/3  31*31 +3*8</t>
  </si>
  <si>
    <t>B2652 va052  2ca  21/3  3*4</t>
  </si>
  <si>
    <t>SA192462AU VA014  1T  22/3 0*7</t>
  </si>
  <si>
    <t>B1124(C60/ETB40) VA025  2CA  20/3  5*7</t>
  </si>
  <si>
    <t>BNC01(OCN) VB003  6T  23/3</t>
  </si>
  <si>
    <t>B1113  VA001  1CA 21/3</t>
  </si>
  <si>
    <t>B1123 VA008  1CA 21/3</t>
  </si>
  <si>
    <t>B1094 VA001  1CA  22/3</t>
  </si>
  <si>
    <t>B0209 VB034 1.5T 22/3</t>
  </si>
  <si>
    <t>BC02 VB100 1CA  27/3 KT</t>
  </si>
  <si>
    <t>B07B(C60/ETB40) VA006  1CA  23/3</t>
  </si>
  <si>
    <t>BC02(OCR) VB009 2CA 24/3</t>
  </si>
  <si>
    <t>BCVC(5)1068 VA016 1T 21/3  0*7</t>
  </si>
  <si>
    <t>B1124P(EA30-AA) JUVA007M1 1ca 21/3  0*4</t>
  </si>
  <si>
    <t>BA37L(U) VA161  1T  22/3  3*7</t>
  </si>
  <si>
    <t>BPL(20)1068  VA015  1CA  23/3</t>
  </si>
  <si>
    <t>B0284(OCR) VA001  1CA 23/3 kt</t>
  </si>
  <si>
    <t>BCVC(40ETB)109 VA001 1CA 22/3 kt</t>
  </si>
  <si>
    <t>B0221 JVB019 1.5T  21/3  4*8 KT</t>
  </si>
  <si>
    <t>B2214 VB118 1.5T 23/3  6*16</t>
  </si>
  <si>
    <t>B2656A(C60/RE40) vb001  1ca  22/3  KT</t>
  </si>
  <si>
    <t>B0278(C60/ETB40) VB004  1CA 22/3</t>
  </si>
  <si>
    <t>SA200871ACVC-U VA040 13T  24/3</t>
  </si>
  <si>
    <t>B09B(C60/ETB40) VA022  2CA 24/3</t>
  </si>
  <si>
    <t>BCVC(40ETB)104 VA055  3T  21/3  22*23</t>
  </si>
  <si>
    <t>B2878(C50/RE50-AA) vb003 2ca 24/3</t>
  </si>
  <si>
    <t>BPM0222 VB001  1CA  23/3</t>
  </si>
  <si>
    <t>BPM2491 vb001  1ca 23/3</t>
  </si>
  <si>
    <t>BUM006AER30-AA vb037 1T 22/3  1*8</t>
  </si>
  <si>
    <t>B0278  VB073  1CA  23/3</t>
  </si>
  <si>
    <t>B0208 vb067  2ca  24/3</t>
  </si>
  <si>
    <t>B0209 VB034 1.5T 21/3  13*16</t>
  </si>
  <si>
    <t>BA37L(C60/ERT40-AA-U) va011 2ca 26/3</t>
  </si>
  <si>
    <t>SO24215D VB001  1CA  22/3 kt</t>
  </si>
  <si>
    <t>B1087  VA001  1CA 23/3</t>
  </si>
  <si>
    <t>BPM1069 VA091  2CA  26/3</t>
  </si>
  <si>
    <t>BC04  VB066  1CA 25/3 kt</t>
  </si>
  <si>
    <t>SO152767C(XY) VB067 SỢI X- XY   2CA 22/3  0*3 kt</t>
  </si>
  <si>
    <t>B0294(C60/ETB40) VB003  2CA  BÙ  22/3 kt</t>
  </si>
  <si>
    <t>B2866(AA)  VB007  1CA  22/3 1*3</t>
  </si>
  <si>
    <t>B05(M60/ETC40-AA) vb001  1ca  23/3  kt</t>
  </si>
  <si>
    <t>B1004 VA199 3.5T 26/3  kt</t>
  </si>
  <si>
    <t>B1092  VA001  1CA  22/3 kt</t>
  </si>
  <si>
    <t>SA259161DCVC-U VA001  2T 25/3  5*16</t>
  </si>
  <si>
    <t>B02B(GC100) UVA002GEC  1CA  24/3 kt</t>
  </si>
  <si>
    <t>SGR81831A(U)  VA009 1CA  21/3  0*4 kt</t>
  </si>
  <si>
    <t>BA37L(U) VA162 1.5T 23/3. 5*10</t>
  </si>
  <si>
    <t>SGR83077A(BM100M-U) VA001  1CA  23/3  0*4</t>
  </si>
  <si>
    <t xml:space="preserve">BNC04C(CVC)  VB022  16T  23/3 </t>
  </si>
  <si>
    <t>B0284  VA022  1CA 23/3</t>
  </si>
  <si>
    <t>B0213(C60/ETB40) VB008  2CA  26/3</t>
  </si>
  <si>
    <t>B1067 VA132  2T 26/3</t>
  </si>
  <si>
    <t>B2878 vb004 2ca 23/3 kt</t>
  </si>
  <si>
    <t xml:space="preserve">B07B VA128 </t>
  </si>
  <si>
    <t>BC02 VB101 2CA 23/3 kt</t>
  </si>
  <si>
    <t>B0213 VB027 1.5T 24/3  7*16 kt</t>
  </si>
  <si>
    <t>BCR(10)2867 VB001  1CA  24/3 kt</t>
  </si>
  <si>
    <t>SA239066CTC-SD VB012  1CA  27/3</t>
  </si>
  <si>
    <t>SO259220B VB001  2CA  23/3 1*3</t>
  </si>
  <si>
    <t xml:space="preserve">SO05106I vb018 2ca 24/3 </t>
  </si>
  <si>
    <t>BOC0210 VB006  2CA  26/3</t>
  </si>
  <si>
    <t>BPM2837 VB001 1CA  24/3  kt</t>
  </si>
  <si>
    <t>B05(OCN) VB014  2CA  25/3 kt</t>
  </si>
  <si>
    <t>B2347  VB081  1T  25/3  kt</t>
  </si>
  <si>
    <t>SO259208B VB001  2CA 25/3  kt</t>
  </si>
  <si>
    <t>BCVC0208 VB047 17T 26/3  kt</t>
  </si>
  <si>
    <t>B2656(C60/RE40-AA) VB002  2CA  23/3 1*4  kt</t>
  </si>
  <si>
    <t>SO41269A(U) JUVA047UB 1ca 24/3 kt</t>
  </si>
  <si>
    <t>BPL(20)1068  VA016  1CA 24/3 kt</t>
  </si>
  <si>
    <t>BM(50)07B(AA) VA006  1CA 27/3 kt</t>
  </si>
  <si>
    <t>SA170299A(TR-U) VA003  1CA  25/3</t>
  </si>
  <si>
    <t>BNC04C(CVC) vb022  14T 28/3 KT</t>
  </si>
  <si>
    <t>B12B VA145 kt</t>
  </si>
  <si>
    <t>B1124 va015 1.5T  15/4 kt</t>
  </si>
  <si>
    <t>B04B(AA) VA107UB 6T 22/3 kt</t>
  </si>
  <si>
    <t>B07B(C60/ETB40) VA006  1CA  31/3 kt</t>
  </si>
  <si>
    <t>B1004 VA199 3.5T  26/3/,NKHO kt</t>
  </si>
  <si>
    <t>B11B(C60/ETB40) VA010  2T  12/4 KT</t>
  </si>
  <si>
    <t>SO250384ANP VB001  2CA  26/3 kt</t>
  </si>
  <si>
    <t>SO259163CHP100 vb001 3T 25/3  9*16 kt</t>
  </si>
  <si>
    <t>BM0214 3JVB003  2T 26/3  12*16</t>
  </si>
  <si>
    <t>BTRC16 VB002  1CA  25/3  1*4</t>
  </si>
  <si>
    <t>BM(100M)C03 VB001  2CA  26/3</t>
  </si>
  <si>
    <t>B02B va132 4T  24/3  22*23 kt</t>
  </si>
  <si>
    <t>B11B(C60/ETB40) VA010  2T 25/3  15*16</t>
  </si>
  <si>
    <t>BCVC(20)11B VA001  3T  26/3  13*16</t>
  </si>
  <si>
    <t>BSO4142AU VA002  2CA 26/3 kt</t>
  </si>
  <si>
    <t>SB249207ABP-U VA003  1CA  26/3 kt</t>
  </si>
  <si>
    <t>B2561(OCN) VB001  1CA 28/3</t>
  </si>
  <si>
    <t>B06G(FH18)(BOC20-AA) TJVB017UBY 29/3</t>
  </si>
  <si>
    <t>B06G(FH18)(BOC20-AA) TJVB017UBY 30/3</t>
  </si>
  <si>
    <t>BTC0201 VB024  1T  26/3 2*8</t>
  </si>
  <si>
    <t>BPM2872 VB001  1CA 26/3</t>
  </si>
  <si>
    <t>B06A(OCR)  VA001  1CA 26/3</t>
  </si>
  <si>
    <t>SA155794D(ER10-XY-U) VA015  SỢI X-XY 1CA 27/3</t>
  </si>
  <si>
    <t xml:space="preserve"> SA200871AU  VA075  15T  29/3</t>
  </si>
  <si>
    <t>BM(70)2366 VB001  1CA 26/3</t>
  </si>
  <si>
    <t>B2656 VB056 1T 28/3</t>
  </si>
  <si>
    <t>BCVC0202 VB002  1CA  26/3 2*3</t>
  </si>
  <si>
    <t>B0279 VB044  3T   26/3  20*23</t>
  </si>
  <si>
    <t>BCVC0283 VB012  1CA  27/3 0*4</t>
  </si>
  <si>
    <t>B1069(OCN60/ETB40-AA) VA019  2CA 26/3  4*7</t>
  </si>
  <si>
    <t>SO202477E  VB022  1CA 28/3</t>
  </si>
  <si>
    <t>B2793 VB012  2CA 29/3</t>
  </si>
  <si>
    <t>BUM009AERC30-AA VA010 30T 28/3</t>
  </si>
  <si>
    <t>B12B VA147   28/3</t>
  </si>
  <si>
    <t>B12B VA147   29/3</t>
  </si>
  <si>
    <t>BTC04B VA008  1CA  27/3</t>
  </si>
  <si>
    <t>SO95703B(XY) VB003  sợi X - XY  1CA  27/3 kt</t>
  </si>
  <si>
    <t>SGR922083B(BPM20)  VB028 1.5T 27/3  7*8</t>
  </si>
  <si>
    <t>SGR45220A VB012  3T 27/3 14*16</t>
  </si>
  <si>
    <t>SO259233A  VB001  1CA 26/3 kt</t>
  </si>
  <si>
    <t>SA249382AC60/T30/OCN10 VB002  1CA  28/3 kt</t>
  </si>
  <si>
    <t>BA37L(U) va163  2.5T   28/3  10*16+4</t>
  </si>
  <si>
    <t>BC04 VB066 1CA 28/3</t>
  </si>
  <si>
    <t>BTC12B  VA054  2CA 27/3  0*4</t>
  </si>
  <si>
    <t>B1067  VA133  1CA  30/3</t>
  </si>
  <si>
    <t>B1123  CA009  1CA 30/3</t>
  </si>
  <si>
    <t>SA170299A(U)  VA040 2CA  31/3</t>
  </si>
  <si>
    <t>B1069(OCN) VA055  1T 27/3  3*7</t>
  </si>
  <si>
    <t>B11B VA093  1CA 28/3</t>
  </si>
  <si>
    <t>B02B VA133  1CA 28/3</t>
  </si>
  <si>
    <t>B06B(C60/ETB40) VA001 2CA 28/3</t>
  </si>
  <si>
    <t>B2282(OCR) VB004  2CA 30/3</t>
  </si>
  <si>
    <t>BSO4101ABOC10 VB004 2.5T 29/3  10*16</t>
  </si>
  <si>
    <t>B0201A4(NP) VB003 1CA 28/3  2*3</t>
  </si>
  <si>
    <t>B0212 VB051  5T  28/3  27*31 kt</t>
  </si>
  <si>
    <t>B2FA010 VB001 kt</t>
  </si>
  <si>
    <t>BPM(20)2214  VB018  2CA 29/3 4*8</t>
  </si>
  <si>
    <t>BTC0285 VB025  2CA  28/3 0*4</t>
  </si>
  <si>
    <t>SGR4015D(BR-AA) VB003  1CA  27/3</t>
  </si>
  <si>
    <t>BCVC0212 VB003  1CA 27/3</t>
  </si>
  <si>
    <t>SGR92083B VB141   10T     2090x2 + bảo tháp do tăng đơn 29/3</t>
  </si>
  <si>
    <t>BCVC(40ETB)104 va056 5T 30/3  27*31</t>
  </si>
  <si>
    <t>BPM1069  VA092  1CA  29/3 0*4</t>
  </si>
  <si>
    <t>SA170299A(CVC-U) VA031  1CA  30/3</t>
  </si>
  <si>
    <t>B0284 VA023  2CA 30/3</t>
  </si>
  <si>
    <t>BMC03(AA) VB010  2CA  31/3</t>
  </si>
  <si>
    <t>SA215376B VB022  1CA 29/3</t>
  </si>
  <si>
    <t>SA209082B  VB035  2CA 30/3</t>
  </si>
  <si>
    <t>B1115  VA013  1CA 31/3</t>
  </si>
  <si>
    <t>SA170299A(OCR-U) VA001 2CA 14/4</t>
  </si>
  <si>
    <t>B09B  VB104 9T 4/4</t>
  </si>
  <si>
    <t>B1115  VA013  1CA 29/3</t>
  </si>
  <si>
    <t>B0284 VA023  2CA 29/3</t>
  </si>
  <si>
    <t>SO152767C(XY) VA068  sợi X 2ca 29/3 kt</t>
  </si>
  <si>
    <t>BR0281 VB001  2CA  30/3 kt</t>
  </si>
  <si>
    <t>BCVC1124 VA001  1CA 29/3  0*4</t>
  </si>
  <si>
    <t>BCVC(5)1068 VA017  3.5T 30/3  20*23</t>
  </si>
  <si>
    <t>SO156245H(XY-U)  3JUVA002UB sợi X-XY 2CA 29/3  3*4</t>
  </si>
  <si>
    <t>BM(70M)1068(BPM-AA) VA006  1T  30/3   12*17</t>
  </si>
  <si>
    <t>BUM009AERC30-AA VA010 30T 29/3 kt</t>
  </si>
  <si>
    <t xml:space="preserve"> SA200871AU  VA075  15T 30/3 kt</t>
  </si>
  <si>
    <t>BPL(20)1068  VA017  1CA 1/4 kt</t>
  </si>
  <si>
    <t>SO259186AC60/AF40  VB001  1CA 1/4</t>
  </si>
  <si>
    <t>BCVC2814 VB004  2CA 2/4</t>
  </si>
  <si>
    <t>B2878(OCN)  VB001  1CA  1/4</t>
  </si>
  <si>
    <r>
      <t>B04B VA106</t>
    </r>
    <r>
      <rPr>
        <sz val="16"/>
        <color rgb="FFFF0000"/>
        <rFont val="Times New Roman"/>
        <family val="1"/>
      </rPr>
      <t>-A  26/4 dời qua 12#</t>
    </r>
  </si>
  <si>
    <t>BA37L(CR20-AA-U) va010 3T 30/3  11*16</t>
  </si>
  <si>
    <t>B2214 VB119 11T  6/4</t>
  </si>
  <si>
    <t>B1067 VA134  1CA 30/3</t>
  </si>
  <si>
    <t>B2793 VB011  12T    2/4</t>
  </si>
  <si>
    <t>SO259226BHP100 vb001  1T  31/3  0*8 kt</t>
  </si>
  <si>
    <t>B2299 VB040  2CA  31/3 kt</t>
  </si>
  <si>
    <t>SA259185AC60/AF40  VB001  1CA 1/4 0*2</t>
  </si>
  <si>
    <t>B0285 VB023  2CA  31/3</t>
  </si>
  <si>
    <t>B2656 VB057  chạy trước 4LB 30/3</t>
  </si>
  <si>
    <t>SA259247A vb001 1ca 1/4</t>
  </si>
  <si>
    <t>B2366 VB067 4T 2/4  22*31</t>
  </si>
  <si>
    <t>SA249381AOCN10 vb001 1ca 1/4 0*3</t>
  </si>
  <si>
    <t>B0209 VB035  1.5T  31/3 7*8</t>
  </si>
  <si>
    <t>BVA004N VA009 1T  30/3  0*4 kt</t>
  </si>
  <si>
    <t>BUM051AER30-AA-U VA008  1.5T   30/3  5*10 kt</t>
  </si>
  <si>
    <t>SO41269A(U) VA048 1CA 30/3 kt</t>
  </si>
  <si>
    <t>SA229142AU  VA013  2CA  31/3 kt</t>
  </si>
  <si>
    <t>BUM009AERC30-AA VA010 30T 30/3 kt</t>
  </si>
  <si>
    <t>SA170299A(C60/M20/ETB20-U) va002  2ca 30/3 KT</t>
  </si>
  <si>
    <t>SO206427I VB032  2T  2/4 6*16</t>
  </si>
  <si>
    <t>BCR(10)C04(BOC) vb001 1ca  31/3 2*4</t>
  </si>
  <si>
    <t>BC03(C50/ME50L) VB001  1CA  1/4</t>
  </si>
  <si>
    <t>SA200871ABPM60/M40M-U VA001 1CA 1/4</t>
  </si>
  <si>
    <t>B2212 VB068 1CA 2/4</t>
  </si>
  <si>
    <t>B0278(P) VB001  1CA 2/4</t>
  </si>
  <si>
    <t>SO259175A VB001  2CA 9/4</t>
  </si>
  <si>
    <t>B2878(C50/RE50-AA) VB004  1CA 3/4</t>
  </si>
  <si>
    <t>B2878  VB005  1CA 3/4</t>
  </si>
  <si>
    <r>
      <t xml:space="preserve">SGR92083B(CVC-AA) VB036  6T 30/7 </t>
    </r>
    <r>
      <rPr>
        <b/>
        <sz val="15"/>
        <color theme="1"/>
        <rFont val="Times New Roman"/>
        <family val="1"/>
      </rPr>
      <t>ngưng</t>
    </r>
  </si>
  <si>
    <r>
      <t xml:space="preserve">SO30723C(XY) VB009 XY SỢI X-XY </t>
    </r>
    <r>
      <rPr>
        <b/>
        <sz val="15"/>
        <color theme="1"/>
        <rFont val="Times New Roman"/>
        <family val="1"/>
      </rPr>
      <t xml:space="preserve">BÙ GẤP </t>
    </r>
    <r>
      <rPr>
        <sz val="15"/>
        <color theme="1"/>
        <rFont val="Times New Roman"/>
        <family val="1"/>
      </rPr>
      <t>26/7 kt 24/7</t>
    </r>
  </si>
  <si>
    <r>
      <t xml:space="preserve">BM0208 VB022 9T 10/8 </t>
    </r>
    <r>
      <rPr>
        <b/>
        <sz val="15"/>
        <color theme="1"/>
        <rFont val="Times New Roman"/>
        <family val="1"/>
      </rPr>
      <t>NGƯNG KHI</t>
    </r>
    <r>
      <rPr>
        <sz val="15"/>
        <color theme="1"/>
        <rFont val="Times New Roman"/>
        <family val="1"/>
      </rPr>
      <t xml:space="preserve"> B25(C50.. CÓ CÚI</t>
    </r>
  </si>
  <si>
    <r>
      <t xml:space="preserve">BM0208 VB022 </t>
    </r>
    <r>
      <rPr>
        <b/>
        <sz val="15"/>
        <color theme="1"/>
        <rFont val="Times New Roman"/>
        <family val="1"/>
      </rPr>
      <t>LÊN LẠI</t>
    </r>
    <r>
      <rPr>
        <sz val="15"/>
        <color theme="1"/>
        <rFont val="Times New Roman"/>
        <family val="1"/>
      </rPr>
      <t xml:space="preserve"> 7T 15/8</t>
    </r>
  </si>
  <si>
    <r>
      <t xml:space="preserve">BCVC0208 VB037 CHẠY </t>
    </r>
    <r>
      <rPr>
        <b/>
        <sz val="15"/>
        <color theme="1"/>
        <rFont val="Times New Roman"/>
        <family val="1"/>
      </rPr>
      <t>806 LB</t>
    </r>
    <r>
      <rPr>
        <sz val="15"/>
        <color theme="1"/>
        <rFont val="Times New Roman"/>
        <family val="1"/>
      </rPr>
      <t xml:space="preserve"> 1CA 9/8 1*3</t>
    </r>
  </si>
  <si>
    <r>
      <t xml:space="preserve">B2367 VB027UA </t>
    </r>
    <r>
      <rPr>
        <sz val="15"/>
        <color rgb="FFFF0000"/>
        <rFont val="Times New Roman"/>
        <family val="1"/>
      </rPr>
      <t>BÙ 21/8</t>
    </r>
  </si>
  <si>
    <r>
      <t>SO249</t>
    </r>
    <r>
      <rPr>
        <b/>
        <sz val="15"/>
        <color theme="1"/>
        <rFont val="Times New Roman"/>
        <family val="1"/>
      </rPr>
      <t>27</t>
    </r>
    <r>
      <rPr>
        <sz val="15"/>
        <color theme="1"/>
        <rFont val="Times New Roman"/>
        <family val="1"/>
      </rPr>
      <t>1BBPM  JVB001H  2CA 10/9</t>
    </r>
  </si>
  <si>
    <r>
      <t xml:space="preserve">đại tu </t>
    </r>
    <r>
      <rPr>
        <sz val="15"/>
        <color rgb="FFFF0000"/>
        <rFont val="Times New Roman"/>
        <family val="1"/>
      </rPr>
      <t>18/9</t>
    </r>
  </si>
  <si>
    <r>
      <t>BC02  VB076</t>
    </r>
    <r>
      <rPr>
        <sz val="15"/>
        <color rgb="FFFF0000"/>
        <rFont val="Times New Roman"/>
        <family val="1"/>
      </rPr>
      <t xml:space="preserve"> 12b </t>
    </r>
    <r>
      <rPr>
        <sz val="15"/>
        <color theme="1"/>
        <rFont val="Times New Roman"/>
        <family val="1"/>
      </rPr>
      <t>1.5T  26/9   kt</t>
    </r>
  </si>
  <si>
    <r>
      <t xml:space="preserve">B2366 VB054UA </t>
    </r>
    <r>
      <rPr>
        <b/>
        <sz val="15"/>
        <color theme="1"/>
        <rFont val="Times New Roman"/>
        <family val="1"/>
      </rPr>
      <t>chạy lại</t>
    </r>
    <r>
      <rPr>
        <sz val="15"/>
        <color theme="1"/>
        <rFont val="Times New Roman"/>
        <family val="1"/>
      </rPr>
      <t xml:space="preserve">  2CA 18/9</t>
    </r>
  </si>
  <si>
    <r>
      <t>BC02  VB076</t>
    </r>
    <r>
      <rPr>
        <sz val="15"/>
        <color rgb="FFFF0000"/>
        <rFont val="Times New Roman"/>
        <family val="1"/>
      </rPr>
      <t xml:space="preserve"> 12b </t>
    </r>
    <r>
      <rPr>
        <sz val="15"/>
        <color theme="1"/>
        <rFont val="Times New Roman"/>
        <family val="1"/>
      </rPr>
      <t>1.5T  27/9  6*12</t>
    </r>
  </si>
  <si>
    <r>
      <t>BUM006AER30-AA 4T 5/10 29*</t>
    </r>
    <r>
      <rPr>
        <sz val="15"/>
        <color rgb="FFFF0000"/>
        <rFont val="Times New Roman"/>
        <family val="1"/>
      </rPr>
      <t>32 BÚP</t>
    </r>
  </si>
  <si>
    <r>
      <t xml:space="preserve">BC03 VB059 4 BÚP + </t>
    </r>
    <r>
      <rPr>
        <sz val="15"/>
        <color rgb="FFFF0000"/>
        <rFont val="Times New Roman"/>
        <family val="1"/>
      </rPr>
      <t>pdoan cúi 18b kt</t>
    </r>
  </si>
  <si>
    <r>
      <t>BC03 VB059</t>
    </r>
    <r>
      <rPr>
        <sz val="15"/>
        <color rgb="FFFF0000"/>
        <rFont val="Times New Roman"/>
        <family val="1"/>
      </rPr>
      <t xml:space="preserve"> 12 BÚP</t>
    </r>
    <r>
      <rPr>
        <sz val="15"/>
        <color theme="1"/>
        <rFont val="Times New Roman"/>
        <family val="1"/>
      </rPr>
      <t xml:space="preserve"> KT 30/9</t>
    </r>
  </si>
  <si>
    <r>
      <t>BUM006AER30-AA 4T 5/10</t>
    </r>
    <r>
      <rPr>
        <sz val="15"/>
        <color rgb="FFFF0000"/>
        <rFont val="Times New Roman"/>
        <family val="1"/>
      </rPr>
      <t xml:space="preserve">  kt</t>
    </r>
  </si>
  <si>
    <r>
      <t xml:space="preserve">B0208 VB057 </t>
    </r>
    <r>
      <rPr>
        <sz val="15"/>
        <color rgb="FFFF0000"/>
        <rFont val="Times New Roman"/>
        <family val="1"/>
      </rPr>
      <t>13 BÚP 4</t>
    </r>
    <r>
      <rPr>
        <sz val="15"/>
        <color theme="1"/>
        <rFont val="Times New Roman"/>
        <family val="1"/>
      </rPr>
      <t>/10 5*13</t>
    </r>
  </si>
  <si>
    <r>
      <t>SGR41667A(CVC20-XY)  VB039 XY</t>
    </r>
    <r>
      <rPr>
        <sz val="15"/>
        <color rgb="FFFF0000"/>
        <rFont val="Times New Roman"/>
        <family val="1"/>
      </rPr>
      <t xml:space="preserve"> 33 BÚP 6T </t>
    </r>
    <r>
      <rPr>
        <sz val="15"/>
        <color theme="1"/>
        <rFont val="Times New Roman"/>
        <family val="1"/>
      </rPr>
      <t xml:space="preserve"> 6/10 kt</t>
    </r>
  </si>
  <si>
    <r>
      <t xml:space="preserve">B0208 VB057 </t>
    </r>
    <r>
      <rPr>
        <sz val="15"/>
        <color rgb="FFFF0000"/>
        <rFont val="Times New Roman"/>
        <family val="1"/>
      </rPr>
      <t>18 BÚP 5</t>
    </r>
    <r>
      <rPr>
        <sz val="15"/>
        <color theme="1"/>
        <rFont val="Times New Roman"/>
        <family val="1"/>
      </rPr>
      <t>/10  kt</t>
    </r>
  </si>
  <si>
    <r>
      <t xml:space="preserve">BC02 VB077 13T 20/10 </t>
    </r>
    <r>
      <rPr>
        <sz val="15"/>
        <color rgb="FFFF0000"/>
        <rFont val="Times New Roman"/>
        <family val="1"/>
      </rPr>
      <t xml:space="preserve">    ngắt cúi ra</t>
    </r>
  </si>
  <si>
    <r>
      <t>SGR41667A(CVC20-XY)  VB039 XY</t>
    </r>
    <r>
      <rPr>
        <sz val="15"/>
        <color rgb="FFFF0000"/>
        <rFont val="Times New Roman"/>
        <family val="1"/>
      </rPr>
      <t xml:space="preserve"> 28 BÚP 5T </t>
    </r>
    <r>
      <rPr>
        <sz val="15"/>
        <color theme="1"/>
        <rFont val="Times New Roman"/>
        <family val="1"/>
      </rPr>
      <t xml:space="preserve"> 6/10 kt</t>
    </r>
  </si>
  <si>
    <r>
      <t xml:space="preserve">BFC08-128   VB001  XY </t>
    </r>
    <r>
      <rPr>
        <sz val="15"/>
        <color rgb="FFFF0000"/>
        <rFont val="Times New Roman"/>
        <family val="1"/>
      </rPr>
      <t>16 BÚP 13/10 kt</t>
    </r>
  </si>
  <si>
    <r>
      <t xml:space="preserve">BFC08-128   VB001  XY </t>
    </r>
    <r>
      <rPr>
        <sz val="15"/>
        <color rgb="FFFF0000"/>
        <rFont val="Times New Roman"/>
        <family val="1"/>
      </rPr>
      <t>9.5 BÚP 15/10   5*9.5</t>
    </r>
  </si>
  <si>
    <r>
      <t xml:space="preserve">SO205078B  VB003 </t>
    </r>
    <r>
      <rPr>
        <sz val="15"/>
        <color rgb="FFFF0000"/>
        <rFont val="Times New Roman"/>
        <family val="1"/>
      </rPr>
      <t>12 BÚP 12/10   kt</t>
    </r>
  </si>
  <si>
    <r>
      <t>BFC08-128 VB002  XY</t>
    </r>
    <r>
      <rPr>
        <sz val="15"/>
        <color rgb="FFFF0000"/>
        <rFont val="Times New Roman"/>
        <family val="1"/>
      </rPr>
      <t xml:space="preserve"> 11.5</t>
    </r>
    <r>
      <rPr>
        <sz val="15"/>
        <color theme="1"/>
        <rFont val="Times New Roman"/>
        <family val="1"/>
      </rPr>
      <t xml:space="preserve"> BÚP  3T 5/11 9*11.5</t>
    </r>
  </si>
  <si>
    <r>
      <t xml:space="preserve">BC04 VB053 12T 26/10 </t>
    </r>
    <r>
      <rPr>
        <sz val="15"/>
        <color rgb="FFFF0000"/>
        <rFont val="Times New Roman"/>
        <family val="1"/>
      </rPr>
      <t>T.LY</t>
    </r>
  </si>
  <si>
    <r>
      <t xml:space="preserve">BFC08-130 VB030UA-A  XY </t>
    </r>
    <r>
      <rPr>
        <sz val="15"/>
        <color rgb="FFFF0000"/>
        <rFont val="Times New Roman"/>
        <family val="1"/>
      </rPr>
      <t xml:space="preserve">BÙ </t>
    </r>
    <r>
      <rPr>
        <sz val="15"/>
        <color theme="1"/>
        <rFont val="Times New Roman"/>
        <family val="1"/>
      </rPr>
      <t>12/10 kt</t>
    </r>
  </si>
  <si>
    <r>
      <t xml:space="preserve">BFC08-128   VB001  XY </t>
    </r>
    <r>
      <rPr>
        <sz val="15"/>
        <color rgb="FFFF0000"/>
        <rFont val="Times New Roman"/>
        <family val="1"/>
      </rPr>
      <t xml:space="preserve"> bù</t>
    </r>
    <r>
      <rPr>
        <sz val="15"/>
        <color theme="1"/>
        <rFont val="Times New Roman"/>
        <family val="1"/>
      </rPr>
      <t xml:space="preserve">  18/10 kt</t>
    </r>
  </si>
  <si>
    <r>
      <t>BTM(50)2657</t>
    </r>
    <r>
      <rPr>
        <b/>
        <sz val="15"/>
        <color theme="1"/>
        <rFont val="Times New Roman"/>
        <family val="1"/>
      </rPr>
      <t xml:space="preserve"> </t>
    </r>
    <r>
      <rPr>
        <sz val="15"/>
        <color theme="1"/>
        <rFont val="Times New Roman"/>
        <family val="1"/>
      </rPr>
      <t xml:space="preserve"> VB002 1.5T 30/10 4*8 kt</t>
    </r>
  </si>
  <si>
    <r>
      <t xml:space="preserve">BUM006AER30-AA VB025-A  </t>
    </r>
    <r>
      <rPr>
        <sz val="15"/>
        <color rgb="FFFF0000"/>
        <rFont val="Times New Roman"/>
        <family val="1"/>
      </rPr>
      <t>BÙ  12/10</t>
    </r>
  </si>
  <si>
    <r>
      <t xml:space="preserve">SO06093D VB0019  XY </t>
    </r>
    <r>
      <rPr>
        <sz val="15"/>
        <color rgb="FFFF0000"/>
        <rFont val="Times New Roman"/>
        <family val="1"/>
      </rPr>
      <t>12 BÚP 27/10 kt</t>
    </r>
  </si>
  <si>
    <r>
      <t>BNC04C(CVC) VB018</t>
    </r>
    <r>
      <rPr>
        <sz val="15"/>
        <color rgb="FFFF0000"/>
        <rFont val="Times New Roman"/>
        <family val="1"/>
      </rPr>
      <t xml:space="preserve"> 8 búp</t>
    </r>
    <r>
      <rPr>
        <sz val="15"/>
        <color theme="1"/>
        <rFont val="Times New Roman"/>
        <family val="1"/>
      </rPr>
      <t xml:space="preserve">  2/11 4*8</t>
    </r>
  </si>
  <si>
    <r>
      <t xml:space="preserve">B2282 VB029 </t>
    </r>
    <r>
      <rPr>
        <sz val="15"/>
        <color rgb="FFFF0000"/>
        <rFont val="Times New Roman"/>
        <family val="1"/>
      </rPr>
      <t>8 BÚP 20/10  kt</t>
    </r>
  </si>
  <si>
    <r>
      <t>BFC08-128 VB001  SỢI X</t>
    </r>
    <r>
      <rPr>
        <sz val="15"/>
        <color rgb="FFFF0000"/>
        <rFont val="Times New Roman"/>
        <family val="1"/>
      </rPr>
      <t xml:space="preserve"> bù kt</t>
    </r>
  </si>
  <si>
    <r>
      <t xml:space="preserve">B2282 VB029 </t>
    </r>
    <r>
      <rPr>
        <sz val="15"/>
        <color rgb="FFFF0000"/>
        <rFont val="Times New Roman"/>
        <family val="1"/>
      </rPr>
      <t>8 BÚP 20/10 kt</t>
    </r>
  </si>
  <si>
    <r>
      <t>BCVC2214 VB002 1.5T</t>
    </r>
    <r>
      <rPr>
        <sz val="15"/>
        <color rgb="FFFF0000"/>
        <rFont val="Times New Roman"/>
        <family val="1"/>
      </rPr>
      <t xml:space="preserve"> 6*8 bup 24/10 kt</t>
    </r>
  </si>
  <si>
    <r>
      <t>B0210 VB117</t>
    </r>
    <r>
      <rPr>
        <sz val="15"/>
        <color rgb="FFFF0000"/>
        <rFont val="Times New Roman"/>
        <family val="1"/>
      </rPr>
      <t xml:space="preserve">  8 BÚP 28/10 6*8</t>
    </r>
  </si>
  <si>
    <r>
      <t xml:space="preserve">BC02 VB077  </t>
    </r>
    <r>
      <rPr>
        <sz val="15"/>
        <color rgb="FFFF0000"/>
        <rFont val="Times New Roman"/>
        <family val="1"/>
      </rPr>
      <t xml:space="preserve">lên lại </t>
    </r>
  </si>
  <si>
    <r>
      <t>BNC04C(CVC) VB017 16*</t>
    </r>
    <r>
      <rPr>
        <sz val="15"/>
        <color rgb="FFFF0000"/>
        <rFont val="Times New Roman"/>
        <family val="1"/>
      </rPr>
      <t>16 B+7*16B 24/10 kt</t>
    </r>
  </si>
  <si>
    <r>
      <t>B0210 VB117</t>
    </r>
    <r>
      <rPr>
        <sz val="15"/>
        <color rgb="FFFF0000"/>
        <rFont val="Times New Roman"/>
        <family val="1"/>
      </rPr>
      <t xml:space="preserve">  8 BÚP 28/10 7*8</t>
    </r>
  </si>
  <si>
    <r>
      <t xml:space="preserve">SO205078B  VB003 </t>
    </r>
    <r>
      <rPr>
        <sz val="15"/>
        <color rgb="FFFF0000"/>
        <rFont val="Times New Roman"/>
        <family val="1"/>
      </rPr>
      <t>12 BÚP 13/10 kt</t>
    </r>
  </si>
  <si>
    <r>
      <t>B0210 VB117</t>
    </r>
    <r>
      <rPr>
        <sz val="15"/>
        <color rgb="FFFF0000"/>
        <rFont val="Times New Roman"/>
        <family val="1"/>
      </rPr>
      <t xml:space="preserve">  7 BÚP 27/10</t>
    </r>
  </si>
  <si>
    <r>
      <t xml:space="preserve">BNC04C(CVC) VB017 </t>
    </r>
    <r>
      <rPr>
        <sz val="15"/>
        <color rgb="FFFF0000"/>
        <rFont val="Times New Roman"/>
        <family val="1"/>
      </rPr>
      <t xml:space="preserve">15 BÚP </t>
    </r>
    <r>
      <rPr>
        <sz val="15"/>
        <color theme="1"/>
        <rFont val="Times New Roman"/>
        <family val="1"/>
      </rPr>
      <t>2T 24/10  KT</t>
    </r>
  </si>
  <si>
    <r>
      <t xml:space="preserve">SO06093D VB0019  XY </t>
    </r>
    <r>
      <rPr>
        <sz val="15"/>
        <color rgb="FFFF0000"/>
        <rFont val="Times New Roman"/>
        <family val="1"/>
      </rPr>
      <t>11 BÚP  29/10 8*11 kt</t>
    </r>
  </si>
  <si>
    <r>
      <t>BCVC2214 VB002 1.5T</t>
    </r>
    <r>
      <rPr>
        <sz val="15"/>
        <color rgb="FFFF0000"/>
        <rFont val="Times New Roman"/>
        <family val="1"/>
      </rPr>
      <t xml:space="preserve"> 8 bup 26/10 kt</t>
    </r>
  </si>
  <si>
    <r>
      <t>BNC04C(CVC) VB018</t>
    </r>
    <r>
      <rPr>
        <sz val="15"/>
        <color rgb="FFFF0000"/>
        <rFont val="Times New Roman"/>
        <family val="1"/>
      </rPr>
      <t xml:space="preserve"> 8 búp</t>
    </r>
    <r>
      <rPr>
        <sz val="15"/>
        <color theme="1"/>
        <rFont val="Times New Roman"/>
        <family val="1"/>
      </rPr>
      <t xml:space="preserve">  30/10 7*8</t>
    </r>
  </si>
  <si>
    <r>
      <t>BFC08-128 VB002  XY</t>
    </r>
    <r>
      <rPr>
        <sz val="15"/>
        <color rgb="FFFF0000"/>
        <rFont val="Times New Roman"/>
        <family val="1"/>
      </rPr>
      <t xml:space="preserve"> 16</t>
    </r>
    <r>
      <rPr>
        <sz val="15"/>
        <color theme="1"/>
        <rFont val="Times New Roman"/>
        <family val="1"/>
      </rPr>
      <t xml:space="preserve"> BÚP  3T 6/11 9*16 kt</t>
    </r>
  </si>
  <si>
    <r>
      <t xml:space="preserve">BFC08-128 VB002  XY </t>
    </r>
    <r>
      <rPr>
        <sz val="15"/>
        <color rgb="FFFF0000"/>
        <rFont val="Times New Roman"/>
        <family val="1"/>
      </rPr>
      <t>16</t>
    </r>
    <r>
      <rPr>
        <sz val="15"/>
        <color theme="1"/>
        <rFont val="Times New Roman"/>
        <family val="1"/>
      </rPr>
      <t xml:space="preserve"> BÚP  3T 6/11 13*16 kt</t>
    </r>
  </si>
  <si>
    <r>
      <t>B06G(FH18)(BOC20-AA) TJVB011Y 16T 14/12</t>
    </r>
    <r>
      <rPr>
        <sz val="15"/>
        <color rgb="FFFF0000"/>
        <rFont val="Times New Roman"/>
        <family val="1"/>
      </rPr>
      <t xml:space="preserve"> thanh lý cúi kt</t>
    </r>
  </si>
  <si>
    <r>
      <t xml:space="preserve">BTCC02  VB037 1.5T  </t>
    </r>
    <r>
      <rPr>
        <sz val="15"/>
        <color rgb="FFFF0000"/>
        <rFont val="Times New Roman"/>
        <family val="1"/>
      </rPr>
      <t>13 búp 14/11 8*13 KT</t>
    </r>
  </si>
  <si>
    <r>
      <rPr>
        <sz val="15"/>
        <color theme="1"/>
        <rFont val="Times New Roman"/>
        <family val="1"/>
      </rPr>
      <t>BAB073 VB029</t>
    </r>
    <r>
      <rPr>
        <sz val="15"/>
        <color rgb="FFFF0000"/>
        <rFont val="Times New Roman"/>
        <family val="1"/>
      </rPr>
      <t xml:space="preserve"> SỢI A </t>
    </r>
    <r>
      <rPr>
        <sz val="15"/>
        <color theme="1"/>
        <rFont val="Times New Roman"/>
        <family val="1"/>
      </rPr>
      <t>1T 25/11 kt</t>
    </r>
  </si>
  <si>
    <r>
      <t xml:space="preserve">BTCC02  VB037 3T 16/11 </t>
    </r>
    <r>
      <rPr>
        <b/>
        <sz val="15"/>
        <color rgb="FFFF0000"/>
        <rFont val="Times New Roman"/>
        <family val="1"/>
      </rPr>
      <t>10 búp  7*10</t>
    </r>
  </si>
  <si>
    <r>
      <t xml:space="preserve">BNC04(CVC)  VB020 </t>
    </r>
    <r>
      <rPr>
        <sz val="15"/>
        <color rgb="FFFF0000"/>
        <rFont val="Times New Roman"/>
        <family val="1"/>
      </rPr>
      <t xml:space="preserve">THANH LÝ </t>
    </r>
    <r>
      <rPr>
        <sz val="15"/>
        <color theme="1"/>
        <rFont val="Times New Roman"/>
        <family val="1"/>
      </rPr>
      <t xml:space="preserve"> 3/12</t>
    </r>
  </si>
  <si>
    <r>
      <t xml:space="preserve">SGR01899E  </t>
    </r>
    <r>
      <rPr>
        <sz val="15"/>
        <color rgb="FFFF0000"/>
        <rFont val="Times New Roman"/>
        <family val="1"/>
      </rPr>
      <t>VB021-A</t>
    </r>
    <r>
      <rPr>
        <sz val="15"/>
        <color theme="1"/>
        <rFont val="Times New Roman"/>
        <family val="1"/>
      </rPr>
      <t xml:space="preserve"> 1T 29/11 2*8 kt</t>
    </r>
  </si>
  <si>
    <r>
      <t xml:space="preserve">B0210 VB119 </t>
    </r>
    <r>
      <rPr>
        <sz val="15"/>
        <color rgb="FFFF0000"/>
        <rFont val="Times New Roman"/>
        <family val="1"/>
      </rPr>
      <t xml:space="preserve">80LB -  còn lại </t>
    </r>
    <r>
      <rPr>
        <sz val="15"/>
        <color theme="1"/>
        <rFont val="Times New Roman"/>
        <family val="1"/>
      </rPr>
      <t xml:space="preserve"> 3T 27/11</t>
    </r>
  </si>
  <si>
    <r>
      <t>BC04 VB056</t>
    </r>
    <r>
      <rPr>
        <sz val="15"/>
        <color rgb="FFFF0000"/>
        <rFont val="Times New Roman"/>
        <family val="1"/>
      </rPr>
      <t xml:space="preserve"> THANH LÝ </t>
    </r>
    <r>
      <rPr>
        <sz val="15"/>
        <color theme="1"/>
        <rFont val="Times New Roman"/>
        <family val="1"/>
      </rPr>
      <t>3/12 KT</t>
    </r>
  </si>
  <si>
    <r>
      <t>BC04 VB056</t>
    </r>
    <r>
      <rPr>
        <sz val="15"/>
        <color rgb="FFFF0000"/>
        <rFont val="Times New Roman"/>
        <family val="1"/>
      </rPr>
      <t xml:space="preserve"> THANH LÝ</t>
    </r>
    <r>
      <rPr>
        <sz val="15"/>
        <color theme="1"/>
        <rFont val="Times New Roman"/>
        <family val="1"/>
      </rPr>
      <t xml:space="preserve">  3/12 KT</t>
    </r>
  </si>
  <si>
    <r>
      <t>B2366 VB060</t>
    </r>
    <r>
      <rPr>
        <sz val="15"/>
        <color rgb="FFFF0000"/>
        <rFont val="Times New Roman"/>
        <family val="1"/>
      </rPr>
      <t xml:space="preserve"> chạy trước 50LB </t>
    </r>
    <r>
      <rPr>
        <sz val="15"/>
        <color theme="1"/>
        <rFont val="Times New Roman"/>
        <family val="1"/>
      </rPr>
      <t>- còn lại  5T 9/12 24*31</t>
    </r>
  </si>
  <si>
    <r>
      <t xml:space="preserve">SGR41667A(CVC20-XY) VB040 </t>
    </r>
    <r>
      <rPr>
        <sz val="15"/>
        <color rgb="FFFF0000"/>
        <rFont val="Times New Roman"/>
        <family val="1"/>
      </rPr>
      <t>SỢI X bù</t>
    </r>
  </si>
  <si>
    <r>
      <t xml:space="preserve">SO206427I VB027 </t>
    </r>
    <r>
      <rPr>
        <sz val="15"/>
        <color rgb="FFFF0000"/>
        <rFont val="Times New Roman"/>
        <family val="1"/>
      </rPr>
      <t>chạy trước 23LB</t>
    </r>
    <r>
      <rPr>
        <sz val="15"/>
        <color theme="1"/>
        <rFont val="Times New Roman"/>
        <family val="1"/>
      </rPr>
      <t xml:space="preserve"> - CÒN LẠI 10T  26/12  kt</t>
    </r>
  </si>
  <si>
    <r>
      <t xml:space="preserve">SO152767C(XY)  JVB061 </t>
    </r>
    <r>
      <rPr>
        <sz val="15"/>
        <color rgb="FFFF0000"/>
        <rFont val="Times New Roman"/>
        <family val="1"/>
      </rPr>
      <t>XY</t>
    </r>
    <r>
      <rPr>
        <sz val="15"/>
        <color theme="1"/>
        <rFont val="Times New Roman"/>
        <family val="1"/>
      </rPr>
      <t xml:space="preserve"> 24 búp 4T  18/12</t>
    </r>
  </si>
  <si>
    <r>
      <t xml:space="preserve">B0278 VB066 </t>
    </r>
    <r>
      <rPr>
        <sz val="15"/>
        <color rgb="FFFF0000"/>
        <rFont val="Times New Roman"/>
        <family val="1"/>
      </rPr>
      <t>16 BÚP</t>
    </r>
    <r>
      <rPr>
        <sz val="15"/>
        <color theme="1"/>
        <rFont val="Times New Roman"/>
        <family val="1"/>
      </rPr>
      <t xml:space="preserve"> 22/12 10*16 kt</t>
    </r>
  </si>
  <si>
    <r>
      <t xml:space="preserve">BPM0210 VB029 </t>
    </r>
    <r>
      <rPr>
        <sz val="15"/>
        <color rgb="FFFF0000"/>
        <rFont val="Times New Roman"/>
        <family val="1"/>
      </rPr>
      <t>8 BÚP</t>
    </r>
    <r>
      <rPr>
        <sz val="15"/>
        <color theme="1"/>
        <rFont val="Times New Roman"/>
        <family val="1"/>
      </rPr>
      <t xml:space="preserve"> 24/12  5*8 kt</t>
    </r>
  </si>
  <si>
    <r>
      <t xml:space="preserve">B06G(FH18)(BOC20-AA) </t>
    </r>
    <r>
      <rPr>
        <sz val="15"/>
        <color rgb="FFFF0000"/>
        <rFont val="Times New Roman"/>
        <family val="1"/>
      </rPr>
      <t>VB014</t>
    </r>
    <r>
      <rPr>
        <sz val="15"/>
        <color theme="1"/>
        <rFont val="Times New Roman"/>
        <family val="1"/>
      </rPr>
      <t xml:space="preserve"> 4T 10/1</t>
    </r>
  </si>
  <si>
    <r>
      <t>B</t>
    </r>
    <r>
      <rPr>
        <sz val="15"/>
        <color rgb="FFFF0000"/>
        <rFont val="Times New Roman"/>
        <family val="1"/>
      </rPr>
      <t>2789</t>
    </r>
    <r>
      <rPr>
        <sz val="15"/>
        <color theme="1"/>
        <rFont val="Times New Roman"/>
        <family val="1"/>
      </rPr>
      <t>(HP100)  VB001 1CA 18/12</t>
    </r>
  </si>
  <si>
    <r>
      <t xml:space="preserve">SO152767C(XY)  JVB061 </t>
    </r>
    <r>
      <rPr>
        <sz val="15"/>
        <color rgb="FFFF0000"/>
        <rFont val="Times New Roman"/>
        <family val="1"/>
      </rPr>
      <t>SỢI X 3*7-XY 21búp</t>
    </r>
    <r>
      <rPr>
        <sz val="15"/>
        <color theme="1"/>
        <rFont val="Times New Roman"/>
        <family val="1"/>
      </rPr>
      <t xml:space="preserve"> 5T  19/12 kt</t>
    </r>
  </si>
  <si>
    <r>
      <t xml:space="preserve">SO152767C(XY) VB063 </t>
    </r>
    <r>
      <rPr>
        <sz val="15"/>
        <color rgb="FFFF0000"/>
        <rFont val="Times New Roman"/>
        <family val="1"/>
      </rPr>
      <t>SỢI X</t>
    </r>
    <r>
      <rPr>
        <sz val="15"/>
        <color theme="1"/>
        <rFont val="Times New Roman"/>
        <family val="1"/>
      </rPr>
      <t xml:space="preserve">  1.5T 8/1  6*7 kt</t>
    </r>
  </si>
  <si>
    <r>
      <t>B</t>
    </r>
    <r>
      <rPr>
        <sz val="15"/>
        <color rgb="FFFF0000"/>
        <rFont val="Times New Roman"/>
        <family val="1"/>
      </rPr>
      <t>2879</t>
    </r>
    <r>
      <rPr>
        <sz val="15"/>
        <color theme="1"/>
        <rFont val="Times New Roman"/>
        <family val="1"/>
      </rPr>
      <t>(HP100) VB001 1CA 19/12</t>
    </r>
  </si>
  <si>
    <r>
      <t xml:space="preserve">SO152767C(XY) VB063 </t>
    </r>
    <r>
      <rPr>
        <sz val="15"/>
        <color rgb="FFFF0000"/>
        <rFont val="Times New Roman"/>
        <family val="1"/>
      </rPr>
      <t>XY</t>
    </r>
    <r>
      <rPr>
        <sz val="15"/>
        <color theme="1"/>
        <rFont val="Times New Roman"/>
        <family val="1"/>
      </rPr>
      <t xml:space="preserve"> </t>
    </r>
    <r>
      <rPr>
        <sz val="15"/>
        <color rgb="FFFF0000"/>
        <rFont val="Times New Roman"/>
        <family val="1"/>
      </rPr>
      <t>14 búp</t>
    </r>
    <r>
      <rPr>
        <sz val="15"/>
        <color theme="1"/>
        <rFont val="Times New Roman"/>
        <family val="1"/>
      </rPr>
      <t xml:space="preserve"> 3T 12/1  10*14 kt</t>
    </r>
  </si>
  <si>
    <r>
      <t xml:space="preserve">B0208(C60/ETB40) </t>
    </r>
    <r>
      <rPr>
        <sz val="15"/>
        <color rgb="FFFF0000"/>
        <rFont val="Times New Roman"/>
        <family val="1"/>
      </rPr>
      <t>VB020</t>
    </r>
    <r>
      <rPr>
        <sz val="15"/>
        <color theme="1"/>
        <rFont val="Times New Roman"/>
        <family val="1"/>
      </rPr>
      <t xml:space="preserve"> 1T 17/1  7*8</t>
    </r>
  </si>
  <si>
    <r>
      <t>B0278(C60/</t>
    </r>
    <r>
      <rPr>
        <sz val="15"/>
        <color rgb="FF00B050"/>
        <rFont val="Times New Roman"/>
        <family val="1"/>
      </rPr>
      <t>ETB40</t>
    </r>
    <r>
      <rPr>
        <sz val="15"/>
        <color theme="1"/>
        <rFont val="Times New Roman"/>
        <family val="1"/>
      </rPr>
      <t>) VB00</t>
    </r>
    <r>
      <rPr>
        <sz val="15"/>
        <color rgb="FFFF0000"/>
        <rFont val="Times New Roman"/>
        <family val="1"/>
      </rPr>
      <t>1 10T 17/1</t>
    </r>
  </si>
  <si>
    <r>
      <t xml:space="preserve">BPM0210 VB029 </t>
    </r>
    <r>
      <rPr>
        <sz val="15"/>
        <color rgb="FFFF0000"/>
        <rFont val="Times New Roman"/>
        <family val="1"/>
      </rPr>
      <t>8 BÚP</t>
    </r>
    <r>
      <rPr>
        <sz val="15"/>
        <color theme="1"/>
        <rFont val="Times New Roman"/>
        <family val="1"/>
      </rPr>
      <t xml:space="preserve"> 26/12 KT</t>
    </r>
  </si>
  <si>
    <r>
      <t>SO152767C(XY) VB063</t>
    </r>
    <r>
      <rPr>
        <sz val="15"/>
        <color rgb="FFFF0000"/>
        <rFont val="Times New Roman"/>
        <family val="1"/>
      </rPr>
      <t xml:space="preserve"> XY 33 búp</t>
    </r>
    <r>
      <rPr>
        <sz val="15"/>
        <color theme="1"/>
        <rFont val="Times New Roman"/>
        <family val="1"/>
      </rPr>
      <t xml:space="preserve"> 5T 12/1 27*33 kt</t>
    </r>
  </si>
  <si>
    <r>
      <t>B2385(GC100) VB003</t>
    </r>
    <r>
      <rPr>
        <sz val="15"/>
        <color rgb="FFFF0000"/>
        <rFont val="Times New Roman"/>
        <family val="1"/>
      </rPr>
      <t xml:space="preserve"> ưu tiên cúi có thì lên trước </t>
    </r>
  </si>
  <si>
    <r>
      <t xml:space="preserve">B0279 VB039 chạy trc </t>
    </r>
    <r>
      <rPr>
        <sz val="15"/>
        <color rgb="FFFF0000"/>
        <rFont val="Times New Roman"/>
        <family val="1"/>
      </rPr>
      <t>150 LB</t>
    </r>
    <r>
      <rPr>
        <sz val="15"/>
        <color theme="1"/>
        <rFont val="Times New Roman"/>
        <family val="1"/>
      </rPr>
      <t xml:space="preserve">- còn lại </t>
    </r>
    <r>
      <rPr>
        <sz val="15"/>
        <color rgb="FFFF0000"/>
        <rFont val="Times New Roman"/>
        <family val="1"/>
      </rPr>
      <t>16</t>
    </r>
    <r>
      <rPr>
        <sz val="15"/>
        <color theme="1"/>
        <rFont val="Times New Roman"/>
        <family val="1"/>
      </rPr>
      <t xml:space="preserve"> búp 2T 30/12  3*3+15*16</t>
    </r>
  </si>
  <si>
    <r>
      <t xml:space="preserve">B0210(OCN) VB026 </t>
    </r>
    <r>
      <rPr>
        <sz val="15"/>
        <color rgb="FFFF0000"/>
        <rFont val="Times New Roman"/>
        <family val="1"/>
      </rPr>
      <t xml:space="preserve">10 búp </t>
    </r>
    <r>
      <rPr>
        <sz val="15"/>
        <color theme="1"/>
        <rFont val="Times New Roman"/>
        <family val="1"/>
      </rPr>
      <t xml:space="preserve"> 31/12   4*10</t>
    </r>
  </si>
  <si>
    <r>
      <t>B2793 VB005 chạy trước</t>
    </r>
    <r>
      <rPr>
        <sz val="15"/>
        <color theme="1"/>
        <rFont val="Times New Roman"/>
        <family val="1"/>
      </rPr>
      <t xml:space="preserve"> 30.24 LB </t>
    </r>
    <r>
      <rPr>
        <sz val="15"/>
        <color rgb="FFFF0000"/>
        <rFont val="Times New Roman"/>
        <family val="1"/>
      </rPr>
      <t>- CÒN LẠI 5T 19/12 kt</t>
    </r>
  </si>
  <si>
    <r>
      <t xml:space="preserve">BCVC0208 VB044 </t>
    </r>
    <r>
      <rPr>
        <sz val="15"/>
        <color rgb="FFFF0000"/>
        <rFont val="Times New Roman"/>
        <family val="1"/>
      </rPr>
      <t>chạy trước 1917LB</t>
    </r>
    <r>
      <rPr>
        <sz val="15"/>
        <color theme="1"/>
        <rFont val="Times New Roman"/>
        <family val="1"/>
      </rPr>
      <t xml:space="preserve"> 1T 6/1 6*8</t>
    </r>
  </si>
  <si>
    <r>
      <t>B0278(C60/</t>
    </r>
    <r>
      <rPr>
        <sz val="15"/>
        <color rgb="FF00B050"/>
        <rFont val="Times New Roman"/>
        <family val="1"/>
      </rPr>
      <t>ETB40</t>
    </r>
    <r>
      <rPr>
        <sz val="15"/>
        <color theme="1"/>
        <rFont val="Times New Roman"/>
        <family val="1"/>
      </rPr>
      <t>) VB00</t>
    </r>
    <r>
      <rPr>
        <sz val="15"/>
        <color rgb="FFFF0000"/>
        <rFont val="Times New Roman"/>
        <family val="1"/>
      </rPr>
      <t xml:space="preserve">1 </t>
    </r>
    <r>
      <rPr>
        <sz val="15"/>
        <color theme="1"/>
        <rFont val="Times New Roman"/>
        <family val="1"/>
      </rPr>
      <t>7T 18/1</t>
    </r>
  </si>
  <si>
    <r>
      <t xml:space="preserve">SO152767C(XY) </t>
    </r>
    <r>
      <rPr>
        <sz val="15"/>
        <color rgb="FFFF0000"/>
        <rFont val="Times New Roman"/>
        <family val="1"/>
      </rPr>
      <t>VB065</t>
    </r>
    <r>
      <rPr>
        <sz val="15"/>
        <color theme="1"/>
        <rFont val="Times New Roman"/>
        <family val="1"/>
      </rPr>
      <t xml:space="preserve">  XY 2CA 5/2  6*7  KT</t>
    </r>
  </si>
  <si>
    <r>
      <t>B0210(OCN) VB026 CHẠY TRƯỚC 90LB- CÒN LẠI</t>
    </r>
    <r>
      <rPr>
        <sz val="15"/>
        <color rgb="FFFF0000"/>
        <rFont val="Times New Roman"/>
        <family val="1"/>
      </rPr>
      <t xml:space="preserve"> 13 búp </t>
    </r>
    <r>
      <rPr>
        <sz val="15"/>
        <color theme="1"/>
        <rFont val="Times New Roman"/>
        <family val="1"/>
      </rPr>
      <t xml:space="preserve"> 31/12 10*13 kt</t>
    </r>
  </si>
  <si>
    <r>
      <t xml:space="preserve">BCVC0208 </t>
    </r>
    <r>
      <rPr>
        <sz val="15"/>
        <color theme="1" tint="4.9989318521683403E-2"/>
        <rFont val="Times New Roman"/>
        <family val="1"/>
      </rPr>
      <t>VB044-A</t>
    </r>
    <r>
      <rPr>
        <sz val="15"/>
        <color rgb="FFFF0000"/>
        <rFont val="Times New Roman"/>
        <family val="1"/>
      </rPr>
      <t xml:space="preserve"> chạy trước 400LB -</t>
    </r>
    <r>
      <rPr>
        <sz val="15"/>
        <color theme="1" tint="4.9989318521683403E-2"/>
        <rFont val="Times New Roman"/>
        <family val="1"/>
      </rPr>
      <t xml:space="preserve"> còn lại 16T 6/2  kt</t>
    </r>
  </si>
  <si>
    <r>
      <t xml:space="preserve">SGR41667A(CVC20-XY) VB043 </t>
    </r>
    <r>
      <rPr>
        <sz val="15"/>
        <color rgb="FFFF0000"/>
        <rFont val="Times New Roman"/>
        <family val="1"/>
      </rPr>
      <t xml:space="preserve"> XY</t>
    </r>
    <r>
      <rPr>
        <sz val="15"/>
        <color theme="1"/>
        <rFont val="Times New Roman"/>
        <family val="1"/>
      </rPr>
      <t xml:space="preserve">   9T  25/3 kt</t>
    </r>
  </si>
  <si>
    <r>
      <t xml:space="preserve">B0202 VB032 </t>
    </r>
    <r>
      <rPr>
        <b/>
        <sz val="15"/>
        <color rgb="FFFF0000"/>
        <rFont val="Times New Roman"/>
        <family val="1"/>
      </rPr>
      <t>SỢI B</t>
    </r>
    <r>
      <rPr>
        <sz val="15"/>
        <color rgb="FFFF0000"/>
        <rFont val="Times New Roman"/>
        <family val="1"/>
      </rPr>
      <t xml:space="preserve"> 1.5T 4/3  0*16</t>
    </r>
  </si>
  <si>
    <r>
      <t>SO259197</t>
    </r>
    <r>
      <rPr>
        <sz val="15"/>
        <color rgb="FF0070C0"/>
        <rFont val="Times New Roman"/>
        <family val="1"/>
      </rPr>
      <t>B</t>
    </r>
    <r>
      <rPr>
        <sz val="15"/>
        <color rgb="FFFF0000"/>
        <rFont val="Times New Roman"/>
        <family val="1"/>
      </rPr>
      <t>C60/RE40 VB001  1CA  10/3</t>
    </r>
  </si>
  <si>
    <r>
      <t xml:space="preserve">SGR41667A(CVC20-XY) VB043  </t>
    </r>
    <r>
      <rPr>
        <sz val="15"/>
        <color rgb="FFFF0000"/>
        <rFont val="Times New Roman"/>
        <family val="1"/>
      </rPr>
      <t>sợi X</t>
    </r>
    <r>
      <rPr>
        <sz val="15"/>
        <color theme="1"/>
        <rFont val="Times New Roman"/>
        <family val="1"/>
      </rPr>
      <t xml:space="preserve"> 3T- </t>
    </r>
    <r>
      <rPr>
        <sz val="15"/>
        <color rgb="FFFF0000"/>
        <rFont val="Times New Roman"/>
        <family val="1"/>
      </rPr>
      <t>XY</t>
    </r>
    <r>
      <rPr>
        <sz val="15"/>
        <color theme="1"/>
        <rFont val="Times New Roman"/>
        <family val="1"/>
      </rPr>
      <t xml:space="preserve"> 9T   16*18 +xy  26/3</t>
    </r>
  </si>
  <si>
    <r>
      <t>SO259197</t>
    </r>
    <r>
      <rPr>
        <sz val="15"/>
        <color rgb="FF0070C0"/>
        <rFont val="Times New Roman"/>
        <family val="1"/>
      </rPr>
      <t>A</t>
    </r>
    <r>
      <rPr>
        <sz val="15"/>
        <color rgb="FFFF0000"/>
        <rFont val="Times New Roman"/>
        <family val="1"/>
      </rPr>
      <t>C60/RE40 vb001  1ca 12/3</t>
    </r>
  </si>
  <si>
    <r>
      <t xml:space="preserve"> BC02  </t>
    </r>
    <r>
      <rPr>
        <b/>
        <sz val="15"/>
        <color rgb="FFFF0000"/>
        <rFont val="Times New Roman"/>
        <family val="1"/>
      </rPr>
      <t>VB098  20/3</t>
    </r>
  </si>
  <si>
    <r>
      <t xml:space="preserve">B2347 VB079 </t>
    </r>
    <r>
      <rPr>
        <b/>
        <sz val="15"/>
        <color theme="1"/>
        <rFont val="Times New Roman"/>
        <family val="1"/>
      </rPr>
      <t>CHẠY TRC 50.4 LB</t>
    </r>
    <r>
      <rPr>
        <sz val="15"/>
        <color theme="1"/>
        <rFont val="Times New Roman"/>
        <family val="1"/>
      </rPr>
      <t xml:space="preserve"> 1CA 24/2</t>
    </r>
  </si>
  <si>
    <r>
      <t>SO15163A VB022UB</t>
    </r>
    <r>
      <rPr>
        <sz val="15"/>
        <color rgb="FFFF0000"/>
        <rFont val="Times New Roman"/>
        <family val="1"/>
      </rPr>
      <t xml:space="preserve">-A </t>
    </r>
    <r>
      <rPr>
        <sz val="15"/>
        <color theme="1"/>
        <rFont val="Times New Roman"/>
        <family val="1"/>
      </rPr>
      <t xml:space="preserve">  6T 6/3</t>
    </r>
  </si>
  <si>
    <r>
      <rPr>
        <sz val="15"/>
        <color rgb="FFFF0000"/>
        <rFont val="Times New Roman"/>
        <family val="1"/>
      </rPr>
      <t xml:space="preserve">SO206427I </t>
    </r>
    <r>
      <rPr>
        <sz val="15"/>
        <color theme="1"/>
        <rFont val="Times New Roman"/>
        <family val="1"/>
      </rPr>
      <t xml:space="preserve">VB030 2T sợi B </t>
    </r>
    <r>
      <rPr>
        <sz val="15"/>
        <color rgb="FFFF0000"/>
        <rFont val="Times New Roman"/>
        <family val="1"/>
      </rPr>
      <t>1080 x 12 x 126  18/3 11*12</t>
    </r>
  </si>
  <si>
    <r>
      <rPr>
        <sz val="15"/>
        <color rgb="FFFF0000"/>
        <rFont val="Times New Roman"/>
        <family val="1"/>
      </rPr>
      <t>SO206427I</t>
    </r>
    <r>
      <rPr>
        <sz val="15"/>
        <color theme="1"/>
        <rFont val="Times New Roman"/>
        <family val="1"/>
      </rPr>
      <t xml:space="preserve"> VB030 1T sợi B </t>
    </r>
    <r>
      <rPr>
        <sz val="15"/>
        <color rgb="FFFF0000"/>
        <rFont val="Times New Roman"/>
        <family val="1"/>
      </rPr>
      <t>1690 x 8 x 126  18/3  3*8 +1080 x 4 x126</t>
    </r>
  </si>
  <si>
    <r>
      <t>B2347 VB079</t>
    </r>
    <r>
      <rPr>
        <sz val="15"/>
        <color rgb="FFFF0000"/>
        <rFont val="Times New Roman"/>
        <family val="1"/>
      </rPr>
      <t>-A</t>
    </r>
    <r>
      <rPr>
        <sz val="15"/>
        <color theme="1"/>
        <rFont val="Times New Roman"/>
        <family val="1"/>
      </rPr>
      <t xml:space="preserve"> </t>
    </r>
    <r>
      <rPr>
        <sz val="15"/>
        <color rgb="FFFF0000"/>
        <rFont val="Times New Roman"/>
        <family val="1"/>
      </rPr>
      <t xml:space="preserve">CÒN LẠI </t>
    </r>
    <r>
      <rPr>
        <sz val="15"/>
        <color theme="1"/>
        <rFont val="Times New Roman"/>
        <family val="1"/>
      </rPr>
      <t xml:space="preserve">  4T   8/3 31*31+2*3</t>
    </r>
  </si>
  <si>
    <r>
      <t xml:space="preserve">SO152767C(XY) VA068 </t>
    </r>
    <r>
      <rPr>
        <sz val="15"/>
        <color rgb="FFFF0000"/>
        <rFont val="Times New Roman"/>
        <family val="1"/>
      </rPr>
      <t xml:space="preserve"> XY</t>
    </r>
    <r>
      <rPr>
        <sz val="15"/>
        <color theme="1"/>
        <rFont val="Times New Roman"/>
        <family val="1"/>
      </rPr>
      <t xml:space="preserve">  1T 30/3 7*8</t>
    </r>
  </si>
  <si>
    <r>
      <t xml:space="preserve">SGR92083B VB140 11T  28/3 </t>
    </r>
    <r>
      <rPr>
        <sz val="15"/>
        <color rgb="FFFF0000"/>
        <rFont val="Times New Roman"/>
        <family val="1"/>
      </rPr>
      <t xml:space="preserve"> thanh lý</t>
    </r>
  </si>
  <si>
    <r>
      <t xml:space="preserve">SA259235AEC  VB001  </t>
    </r>
    <r>
      <rPr>
        <sz val="15"/>
        <color rgb="FFFF0000"/>
        <rFont val="Times New Roman"/>
        <family val="1"/>
      </rPr>
      <t>SỢI B</t>
    </r>
    <r>
      <rPr>
        <sz val="15"/>
        <color theme="1"/>
        <rFont val="Times New Roman"/>
        <family val="1"/>
      </rPr>
      <t xml:space="preserve"> 1CA 29/3</t>
    </r>
  </si>
  <si>
    <r>
      <t xml:space="preserve">SA259235AEC  VB001 </t>
    </r>
    <r>
      <rPr>
        <sz val="15"/>
        <color rgb="FFFF0000"/>
        <rFont val="Times New Roman"/>
        <family val="1"/>
      </rPr>
      <t xml:space="preserve"> SỢI A</t>
    </r>
    <r>
      <rPr>
        <sz val="15"/>
        <color theme="1"/>
        <rFont val="Times New Roman"/>
        <family val="1"/>
      </rPr>
      <t xml:space="preserve"> 1CA 29/3  0*3</t>
    </r>
  </si>
  <si>
    <r>
      <t>SO00195C VB002 26T 23/3</t>
    </r>
    <r>
      <rPr>
        <b/>
        <sz val="15"/>
        <color rgb="FFFF0000"/>
        <rFont val="Times New Roman"/>
        <family val="1"/>
      </rPr>
      <t xml:space="preserve"> </t>
    </r>
  </si>
  <si>
    <r>
      <t xml:space="preserve">SO259130AHP100  VB001  2.5T  24/3  14*23 </t>
    </r>
    <r>
      <rPr>
        <sz val="15"/>
        <color rgb="FFFF0000"/>
        <rFont val="Times New Roman"/>
        <family val="1"/>
      </rPr>
      <t xml:space="preserve">đợi khách hàng </t>
    </r>
    <r>
      <rPr>
        <sz val="15"/>
        <color theme="1"/>
        <rFont val="Times New Roman"/>
        <family val="1"/>
      </rPr>
      <t xml:space="preserve"> kt</t>
    </r>
  </si>
  <si>
    <r>
      <t xml:space="preserve">B0281  VB071 </t>
    </r>
    <r>
      <rPr>
        <b/>
        <sz val="15"/>
        <color rgb="FFFF0000"/>
        <rFont val="Times New Roman"/>
        <family val="1"/>
      </rPr>
      <t>CHẠY LẠ</t>
    </r>
    <r>
      <rPr>
        <b/>
        <sz val="15"/>
        <color theme="1"/>
        <rFont val="Times New Roman"/>
        <family val="1"/>
      </rPr>
      <t>I  2CA  14/3</t>
    </r>
  </si>
  <si>
    <r>
      <t xml:space="preserve">SO206427I VB030 </t>
    </r>
    <r>
      <rPr>
        <sz val="15"/>
        <color rgb="FFFF0000"/>
        <rFont val="Times New Roman"/>
        <family val="1"/>
      </rPr>
      <t>CHẠY TIẾP 1690x1x91+</t>
    </r>
    <r>
      <rPr>
        <b/>
        <sz val="15"/>
        <color rgb="FFFF0000"/>
        <rFont val="Times New Roman"/>
        <family val="1"/>
      </rPr>
      <t>1080</t>
    </r>
    <r>
      <rPr>
        <sz val="15"/>
        <color rgb="FFFF0000"/>
        <rFont val="Times New Roman"/>
        <family val="1"/>
      </rPr>
      <t>x16x126   2T 17/3</t>
    </r>
    <r>
      <rPr>
        <sz val="15"/>
        <color theme="1"/>
        <rFont val="Times New Roman"/>
        <family val="1"/>
      </rPr>
      <t xml:space="preserve">  14*16</t>
    </r>
  </si>
  <si>
    <r>
      <t xml:space="preserve">BCVC0208 VB048 7T </t>
    </r>
    <r>
      <rPr>
        <sz val="15"/>
        <color rgb="FFFF0000"/>
        <rFont val="Times New Roman"/>
        <family val="1"/>
      </rPr>
      <t>DỜI QUA 18# kt 25/3</t>
    </r>
  </si>
  <si>
    <r>
      <t xml:space="preserve">BCVC0208 VB048 </t>
    </r>
    <r>
      <rPr>
        <sz val="15"/>
        <color rgb="FFFF0000"/>
        <rFont val="Times New Roman"/>
        <family val="1"/>
      </rPr>
      <t>DỜI 20# QUA 1/4</t>
    </r>
  </si>
  <si>
    <t>B0281(OCN) VB009  1T  2/4  5*8</t>
  </si>
  <si>
    <t>B2367 VB037  2CA  1/4  kt</t>
  </si>
  <si>
    <t>SO95703B(CVC-XY) VB003 sợi X- XY  2CA 2/4  0*8  kt</t>
  </si>
  <si>
    <t>SGR41667A(CVC20-XY) VB044 SỢI X 3T  1/4  14*15</t>
  </si>
  <si>
    <t>BCR0201  VB001 1CA 1/4  2*4</t>
  </si>
  <si>
    <t>BCR1124 VA001  1CA 2/4 kt</t>
  </si>
  <si>
    <t>B09B(ERT65/R35-AA) va002  1ca 2/4</t>
  </si>
  <si>
    <t>SO259192AC60/AF40 VB001  1CA  3/4</t>
  </si>
  <si>
    <t>SA170299A(U) VA041  1CA 16/4</t>
  </si>
  <si>
    <t>B1069  VA203  6T 4/4</t>
  </si>
  <si>
    <t>BCR1124  VA001 KT</t>
  </si>
  <si>
    <t>B1069  VA203  6T 6/4</t>
  </si>
  <si>
    <t>SA239212AAG3G  3JVA001</t>
  </si>
  <si>
    <r>
      <t>B2656 VB0</t>
    </r>
    <r>
      <rPr>
        <sz val="15"/>
        <color rgb="FFFF0000"/>
        <rFont val="Times New Roman"/>
        <family val="1"/>
      </rPr>
      <t xml:space="preserve">57-A </t>
    </r>
    <r>
      <rPr>
        <sz val="15"/>
        <color theme="1"/>
        <rFont val="Times New Roman"/>
        <family val="1"/>
      </rPr>
      <t xml:space="preserve"> 2T  3/4  7*16</t>
    </r>
  </si>
  <si>
    <t>BPM2814 VB002  2CA 3/4 5*8</t>
  </si>
  <si>
    <t>SO210125E VB05  1.5T  4/4 9*16</t>
  </si>
  <si>
    <t>B0293 VB019 1CA 3/4 kt</t>
  </si>
  <si>
    <t>BM0212(AA)  VB003  1CA  4/4 kt</t>
  </si>
  <si>
    <t>BFC26-05W VB001 1CA 3/4</t>
  </si>
  <si>
    <t>B0281 VB073 1CA 3/4</t>
  </si>
  <si>
    <t>B2659 VA029 1T 2/4 3*7 kt</t>
  </si>
  <si>
    <t>B8224 Va032 2CA 2/4 0*4</t>
  </si>
  <si>
    <t>BOC1069(AA)  VA015 1T 3/4 3*6</t>
  </si>
  <si>
    <t>SA170299A(OCR-U) VA001  1CA 4/4</t>
  </si>
  <si>
    <t>SA170299A(U) VA141  1CA 5/4</t>
  </si>
  <si>
    <t>B0201 vb019 4T  8/5</t>
  </si>
  <si>
    <t>SO156245H(XY-U)  VA002  SỢI X</t>
  </si>
  <si>
    <t>B2F009 VB002  2CA  3/4 1*3</t>
  </si>
  <si>
    <t>B0280 VB040  3T  3/4 20*23</t>
  </si>
  <si>
    <t>BM(M)2366(BPM) VB001  1CA  4/4 KT</t>
  </si>
  <si>
    <t>B2214 VB120  1T  3/4 5*8</t>
  </si>
  <si>
    <t>B0210 vb130 2ca  4/4</t>
  </si>
  <si>
    <t>SO259138AC60/M20/ETB20 VB001  1CA  4/4 KT</t>
  </si>
  <si>
    <t>BCVC04B VA080 6T  3/4 kt</t>
  </si>
  <si>
    <t>B07B(P) VA001  1CA 4/4 kt</t>
  </si>
  <si>
    <t>B02B VA133 SỢI B  2CA 3/4 1*3</t>
  </si>
  <si>
    <t>BM(M)0278(BPM) VB002 1CA 4/4</t>
  </si>
  <si>
    <t>B05   VB075 20T 3/4 kt</t>
  </si>
  <si>
    <t>B0202 VB033  2CA 4/4</t>
  </si>
  <si>
    <t>B2212V(EA30) VA001  1CA 4/4</t>
  </si>
  <si>
    <t>TIỂU TU 4/4</t>
  </si>
  <si>
    <t>BA37L(C60/ERT40-AA-U) va0122ca 5/4</t>
  </si>
  <si>
    <t>B1069(OCR)  VA003 2CA 9/4</t>
  </si>
  <si>
    <t>BVA004A VA021  17T  17/4</t>
  </si>
  <si>
    <t>B1NP012 VB014  2CA  4/4  0*3</t>
  </si>
  <si>
    <t>B2282 VB036  2T  5/4 12*16</t>
  </si>
  <si>
    <t>B0212(C60/ETB40) VB001  1CA  4/4  kt</t>
  </si>
  <si>
    <t>SO196304F  VB010   2T 5/4 10*16</t>
  </si>
  <si>
    <t>SGR92083B VB142  2CA 4/4 0*3</t>
  </si>
  <si>
    <t>BFC13-03(C60/ETB40) VB006-A  2CA  5/4  1*4</t>
  </si>
  <si>
    <t>SO259254A  VB001  2CA 5/4</t>
  </si>
  <si>
    <t>SA229142AU VA015  2T   9/4  4*10</t>
  </si>
  <si>
    <t>B0284(C70/AF30) VA00 1CA 8/4 kt</t>
  </si>
  <si>
    <t>SA200871AC60/ETB40-U VA002 8T  4/4 kt</t>
  </si>
  <si>
    <t>B1004 VA200 1CA 4/4  0*3</t>
  </si>
  <si>
    <t>B1062 VA024  1CA 5/4</t>
  </si>
  <si>
    <t>BM(70M)1068(AA) va002 2T  5/4  13*16</t>
  </si>
  <si>
    <t>BC04 VB064 25T  10/4</t>
  </si>
  <si>
    <t>B0278(C80/ERT20) VB001  1CA 5/4</t>
  </si>
  <si>
    <t>BC04(D) VB001 13T 6/4</t>
  </si>
  <si>
    <t>BC04(D) VB001 13T 9/4</t>
  </si>
  <si>
    <t>BOC(80)02B(AA) VA001  8T  12/4</t>
  </si>
  <si>
    <t xml:space="preserve"> BNC04C(CVC) VB023   50T 4/4</t>
  </si>
  <si>
    <t>SGR92083B(C60/ERT40-AA)(D) VB007 1CA 8/4</t>
  </si>
  <si>
    <t>SO259259BC80/ERT20-AB VB001 SỢI A- SỢI B 1CA  9/4</t>
  </si>
  <si>
    <t>BA37L(CR20-AA-U) va011 1T 11/4 0*4</t>
  </si>
  <si>
    <t>SO156245H(XY-U)  VA002   XY 1ca 5/4 2*4</t>
  </si>
  <si>
    <t>BCVC07B VA090  1.5T  10/4  5*10</t>
  </si>
  <si>
    <t>B1115 VA014  2T  8/4  12*16</t>
  </si>
  <si>
    <t>B1067(OCN) VA015 1.5T 6/4 13*16</t>
  </si>
  <si>
    <t>SGR91885D VB015  2CA  5/4  6*8</t>
  </si>
  <si>
    <t>B2347(C60/M20/ETB20) VB002  2CA  6/4  0*4</t>
  </si>
  <si>
    <t>B2401(GC100) VB002  2CA  5/4 2*3</t>
  </si>
  <si>
    <t>SA249575B  VB002 2CA 10/4</t>
  </si>
  <si>
    <t>SA259255A VB001  1T  9/4</t>
  </si>
  <si>
    <t>SO259216A  VB001  2CA 23/4</t>
  </si>
  <si>
    <t>BC02-OE VB102 6T 28/3 KT</t>
  </si>
  <si>
    <t>BC02-OE VB103  2T  12/4 KT</t>
  </si>
  <si>
    <t>B1069(OC80/ERT20-AA) VA006 1T 5/4 4*6</t>
  </si>
  <si>
    <t>BCVC0475 VA004  2CA  11/4</t>
  </si>
  <si>
    <t>B0283 VB043 1.5T 9/4  10*16</t>
  </si>
  <si>
    <t>B3FA003 vb001  kt</t>
  </si>
  <si>
    <t>SO259261AC80/ERT20-AB VB001  SỢI A- SỢI B 1CA  10/4 kt</t>
  </si>
  <si>
    <t>SO259253A  VB001  2CA 8/4 1*3</t>
  </si>
  <si>
    <t>B2656  VB058  1CA  9/4</t>
  </si>
  <si>
    <t>BA37L(U) va165 3T  16/4  6*19</t>
  </si>
  <si>
    <t>BA37L(C60/ERT40-AA-U)  3JUVA012UB 2CA 8/4  1*4</t>
  </si>
  <si>
    <t>BPM(50)1069 VA002  1CA 9/4</t>
  </si>
  <si>
    <t>B1020(C60/ETB40) VA008 2CA  10/4</t>
  </si>
  <si>
    <t>B8847(C70/AF30) VA001  1CA  11/4</t>
  </si>
  <si>
    <t>B02B  VA134 3T 10/4  5*15</t>
  </si>
  <si>
    <t>B11B VA094  2CA 11/4</t>
  </si>
  <si>
    <t>BPL(20)1068 JUVA018M1 1ca 12/4</t>
  </si>
  <si>
    <t>BCVC104 VA065  1T  10/4 KT</t>
  </si>
  <si>
    <t>B05  VB076  6T 10/4</t>
  </si>
  <si>
    <t>B2214  VB122  1CA 9/4</t>
  </si>
  <si>
    <t>BC04(GC100) VB001  2CA  10/4</t>
  </si>
  <si>
    <t>B0213 VB028  2CA 11/4</t>
  </si>
  <si>
    <t>BNC01(RE100) VB001  2CA 8/4</t>
  </si>
  <si>
    <t>B2212 VB069 1T 13/4  7*8</t>
  </si>
  <si>
    <t>SO259130AHP100 JVB001-D 1.5T 11/4 0*16 kt</t>
  </si>
  <si>
    <t>B1NA13 VB010 SỢI X - XY 1.5T 14/4 kt</t>
  </si>
  <si>
    <t>SA155427K  VB010  1CA 11/4</t>
  </si>
  <si>
    <t>B2829  VB005  1CA  12/4</t>
  </si>
  <si>
    <t>BCR0208 VB008  2T  11/4 12*17</t>
  </si>
  <si>
    <t>SO259261AERT65/R35 VB001  1CA 12/4</t>
  </si>
  <si>
    <t>B1NCY10 VB010 SP75I X- XY  2CA  11/4</t>
  </si>
  <si>
    <t>SGR92083B VB143 11T 11/4</t>
  </si>
  <si>
    <t>B2789  VB012  1CA 12/4</t>
  </si>
  <si>
    <t>BA37L(U)  VA164   1T 11/4 0*7</t>
  </si>
  <si>
    <t>B1119 VA003  4T  11/4  18*23</t>
  </si>
  <si>
    <t>BCVC103  VA021  1CA  10/4 1*4</t>
  </si>
  <si>
    <t>BAB037 va027  sợi B 2ca  11/4  0*6</t>
  </si>
  <si>
    <t>BPM(50)1067 VA003   2CA  12/4 kt</t>
  </si>
  <si>
    <t>B0209  VB036  1CA  12/4 kt</t>
  </si>
  <si>
    <t>B0279 VB045 1CA 10/4 0*3 kt</t>
  </si>
  <si>
    <t>B3FA002 VB001 kt</t>
  </si>
  <si>
    <t>B0295(OCR) VB002  6T  12/4 kt</t>
  </si>
  <si>
    <t>SO259259BERT65/R35 VB001  1CA  13/4 kt</t>
  </si>
  <si>
    <t>B2746(C70/AF30) VB001  1CA  12/4</t>
  </si>
  <si>
    <t>BCVC2347 VB040  1CA  12/4</t>
  </si>
  <si>
    <t>SO249196AU  VA012  1CA  12/4  kt</t>
  </si>
  <si>
    <t>B07B(C60/ETB40) VA007  1CA  12/4 1*3</t>
  </si>
  <si>
    <t>B1068  VA139  1CA  12/4  1*3</t>
  </si>
  <si>
    <t>BM(100M)04B(AA) VA014  10T  16/4</t>
  </si>
  <si>
    <t>BCVC11B(AA)  VA133  1CA 13/4</t>
  </si>
  <si>
    <t>BM(100)1047 VA003  1CA  13/4</t>
  </si>
  <si>
    <t>SO41269A(BPM20-U) VA025  6T  15/4</t>
  </si>
  <si>
    <t>B1115 VA014  2T  26/4 KT</t>
  </si>
  <si>
    <t>BCVC04B VA080 6T  4/4 KT</t>
  </si>
  <si>
    <t>B04B(AA) VA109 110T  22/5</t>
  </si>
  <si>
    <t>B2366 VB068 1.5T  12/4 4*8</t>
  </si>
  <si>
    <t>B2385  VB024  1CA 11/4 0*3</t>
  </si>
  <si>
    <t>BOC2621 VB008  1CA 12/4</t>
  </si>
  <si>
    <t>SGR92083B VB143 11T 12/4</t>
  </si>
  <si>
    <t>SY179060A  VB008 1CA 12/4  0*3</t>
  </si>
  <si>
    <t>B2561 VB021  1T  12/4  7*8</t>
  </si>
  <si>
    <t>BNC04C VB044  7T  13/4 kt</t>
  </si>
  <si>
    <t>B2798  VB015  2CA 13/4 kt</t>
  </si>
  <si>
    <t>B2214  VB123 2CA 13/4</t>
  </si>
  <si>
    <r>
      <t>SO206427I vb033</t>
    </r>
    <r>
      <rPr>
        <sz val="15"/>
        <color rgb="FFFF0000"/>
        <rFont val="Times New Roman"/>
        <family val="1"/>
      </rPr>
      <t xml:space="preserve">  1000 x8x126</t>
    </r>
    <r>
      <rPr>
        <sz val="15"/>
        <color theme="1"/>
        <rFont val="Times New Roman"/>
        <family val="1"/>
      </rPr>
      <t xml:space="preserve">  tiếp 1330x16x126 13/4 8*8+7*16 kt</t>
    </r>
  </si>
  <si>
    <t>BM(100)2347(AA) VB006  2CA  13/4 kt</t>
  </si>
  <si>
    <t>BCVC0208 VB049 7T 14/4</t>
  </si>
  <si>
    <t>BAB037 va027  sợi A 2ca  13/4  5*6</t>
  </si>
  <si>
    <t>BM(100M)1047 VA008  1CA 14/4 kt</t>
  </si>
  <si>
    <t>SA200871ABM50-AA-U va001 1ca 12/4 1*3</t>
  </si>
  <si>
    <t>BA37L(U) VA166  1CA 16/4</t>
  </si>
  <si>
    <t>BVA004N  VA010  1CA 22/4</t>
  </si>
  <si>
    <t>BCVC2366 VB016  1CA  12/4</t>
  </si>
  <si>
    <t>B2299(M60/AF40) VB001  1CA 13/4</t>
  </si>
  <si>
    <t>BCVC0212 VB004  1CA 16/4</t>
  </si>
  <si>
    <t>B2347V(EA25)  VB001  1CA  14/4</t>
  </si>
  <si>
    <t>B2367 vb038  1.5T  13/4 0*8</t>
  </si>
  <si>
    <t>B12B VA147 KT</t>
  </si>
  <si>
    <t>B0278(C60/ETB40) VB005  2CA 13/4</t>
  </si>
  <si>
    <t>BM(20)0278 VB001  1CA  14/4</t>
  </si>
  <si>
    <t>BOCC03 VB015  2CA  15/4</t>
  </si>
  <si>
    <t>B2294 VB009  1CA  15/4 kt</t>
  </si>
  <si>
    <t>B0212  VB052  2CA 13/4 kt</t>
  </si>
  <si>
    <t>BN08(TC) VB014  1CA 15/4  kt</t>
  </si>
  <si>
    <t>BOC0214 VB004  4T  18/4 16*23</t>
  </si>
  <si>
    <t>B2782 VB013  2CA 14/4 1*3</t>
  </si>
  <si>
    <t>BPM2299DN VB001  2T  14/4  15*16</t>
  </si>
  <si>
    <t>B2782(C60/ETB40) VB004 1T  14/4  4*8</t>
  </si>
  <si>
    <t>B1NP012(C60/M20/ETB20) VB001  2CA  13/4 kt</t>
  </si>
  <si>
    <t>SA240274ACVC VB006  1CA  14/4 kt</t>
  </si>
  <si>
    <t>BCVC(40ET)0278 VB002  1CA  13/4</t>
  </si>
  <si>
    <t>BCVC0279 VB007  1CA 14/4</t>
  </si>
  <si>
    <t>B0210(C60/ETB40) vb001  1ca  15/4</t>
  </si>
  <si>
    <t>SA200871AU VA076  2T  14/4  6*16 kt</t>
  </si>
  <si>
    <t>SA170299A(BM100-AA-U)  VA005  2ca  14/4 0*3</t>
  </si>
  <si>
    <t>BPM8847 va036 2ca 18/4</t>
  </si>
  <si>
    <t>BNC04C(ZR) VB007  2CA  14/4 kt</t>
  </si>
  <si>
    <t>B2214 VB121 4T 17/4  15*23 kt</t>
  </si>
  <si>
    <t>BM0212 VB004  1CA  17/4 kt</t>
  </si>
  <si>
    <t>BCVC2347 VB041  1.5T  16/4 5*16</t>
  </si>
  <si>
    <t>BM(50)0202 VB001  1CA  16/4 kt</t>
  </si>
  <si>
    <t>B1004  VA201 14T  3/5</t>
  </si>
  <si>
    <t>BCVC104 VA067  1.5T  15/4  6*10</t>
  </si>
  <si>
    <t>BA1ND07B(C60/ETB40) VA003  SỢI X- XY 10T  15/4 6*8+1+xy  kt</t>
  </si>
  <si>
    <t>SA170299A(C60/ETB40-U) VA007 1CA 15/4 kt</t>
  </si>
  <si>
    <t>B06A(FH18)(BOC10) VA098 19T  18/4</t>
  </si>
  <si>
    <r>
      <t xml:space="preserve">SGR41667A(CVC20-XY) VB044 </t>
    </r>
    <r>
      <rPr>
        <sz val="15"/>
        <color rgb="FFFF0000"/>
        <rFont val="Times New Roman"/>
        <family val="1"/>
      </rPr>
      <t>XY</t>
    </r>
    <r>
      <rPr>
        <sz val="15"/>
        <color theme="1"/>
        <rFont val="Times New Roman"/>
        <family val="1"/>
      </rPr>
      <t xml:space="preserve">  16T  15/4</t>
    </r>
  </si>
  <si>
    <t>B0209  VB037 1T 15/4 0*8</t>
  </si>
  <si>
    <t>B2347(EA25) VB001 1CA 16/4 CHẠY LẠI</t>
  </si>
  <si>
    <t>B1067 va136  2T  12/5</t>
  </si>
  <si>
    <t>B0278 VB074 28T 15/4 kt</t>
  </si>
  <si>
    <t>B1FA003 vb001  2ca  kt</t>
  </si>
  <si>
    <r>
      <t xml:space="preserve">BSAB053 VB028 </t>
    </r>
    <r>
      <rPr>
        <sz val="15"/>
        <color rgb="FFFF0000"/>
        <rFont val="Times New Roman"/>
        <family val="1"/>
      </rPr>
      <t xml:space="preserve">SỢI B </t>
    </r>
    <r>
      <rPr>
        <sz val="15"/>
        <color theme="1"/>
        <rFont val="Times New Roman"/>
        <family val="1"/>
      </rPr>
      <t xml:space="preserve">   1CA 15/4  0*1</t>
    </r>
  </si>
  <si>
    <r>
      <t xml:space="preserve">BAB053 VB001 </t>
    </r>
    <r>
      <rPr>
        <sz val="15"/>
        <color rgb="FFFF0000"/>
        <rFont val="Times New Roman"/>
        <family val="1"/>
      </rPr>
      <t xml:space="preserve">SỢI B </t>
    </r>
    <r>
      <rPr>
        <sz val="15"/>
        <color theme="1"/>
        <rFont val="Times New Roman"/>
        <family val="1"/>
      </rPr>
      <t xml:space="preserve">  1CA 15/4</t>
    </r>
  </si>
  <si>
    <r>
      <t xml:space="preserve">BSAB053 VB028 </t>
    </r>
    <r>
      <rPr>
        <b/>
        <sz val="15"/>
        <color theme="3" tint="0.39997558519241921"/>
        <rFont val="Times New Roman"/>
        <family val="1"/>
      </rPr>
      <t xml:space="preserve"> SỢI A</t>
    </r>
    <r>
      <rPr>
        <sz val="15"/>
        <color theme="1"/>
        <rFont val="Times New Roman"/>
        <family val="1"/>
      </rPr>
      <t xml:space="preserve"> 1CA 15/4</t>
    </r>
  </si>
  <si>
    <r>
      <t xml:space="preserve">BAB053 VB001 </t>
    </r>
    <r>
      <rPr>
        <b/>
        <sz val="15"/>
        <color theme="3" tint="0.39997558519241921"/>
        <rFont val="Times New Roman"/>
        <family val="1"/>
      </rPr>
      <t>SỢI A</t>
    </r>
    <r>
      <rPr>
        <sz val="15"/>
        <color rgb="FFFF0000"/>
        <rFont val="Times New Roman"/>
        <family val="1"/>
      </rPr>
      <t xml:space="preserve"> </t>
    </r>
    <r>
      <rPr>
        <sz val="15"/>
        <color theme="1"/>
        <rFont val="Times New Roman"/>
        <family val="1"/>
      </rPr>
      <t xml:space="preserve">  1CA 15/4</t>
    </r>
  </si>
  <si>
    <t>BPMAB053 VB004 SỢI A- SỢI B 1CA 17/4 0*1</t>
  </si>
  <si>
    <t>BC04(BP) VB001  1CA 15/4 0*4</t>
  </si>
  <si>
    <t>BCVC07B  VA091  2CA 16/4 kt</t>
  </si>
  <si>
    <t>BUM009AERC30-AA TJUVA011UB  4T 17/4  25*31</t>
  </si>
  <si>
    <t>B1069(OCR) VA005  1T 16/4  2*4</t>
  </si>
  <si>
    <t>B2347 VB082 22T 20/4</t>
  </si>
  <si>
    <t>SO00195C VB005  16T  20/4</t>
  </si>
  <si>
    <t>B1067 VA137 6T 28/4</t>
  </si>
  <si>
    <t>SO259291BBOC  VB001  1CA 17/4</t>
  </si>
  <si>
    <t>B2366  VB069  1T  16/4  2*8 kt</t>
  </si>
  <si>
    <t>BPM2214DN VB001L 4T  16/4  21*23</t>
  </si>
  <si>
    <t>B2282 VB037  2CA  16/4 6*8</t>
  </si>
  <si>
    <t>B0201 vb019 4T  16/4 20*23</t>
  </si>
  <si>
    <t>SA239212AAG3G  3JVA001 kt</t>
  </si>
  <si>
    <t>BCVC(40ET)07B VA002  1CA 16/4 kt</t>
  </si>
  <si>
    <t>SO41269A(BPM50-U) VA010  1T  16/4 6*8</t>
  </si>
  <si>
    <t>BPM0460  VA003 1CA 2/5 0*4 kt</t>
  </si>
  <si>
    <t>B2889(OCR95/W5) VB001  1CA 17/4</t>
  </si>
  <si>
    <t>B1069(OCN) va056  2CA 19/4</t>
  </si>
  <si>
    <t>SA170299A(OCR-U) VA002  2CA 16/4  1*4</t>
  </si>
  <si>
    <t>SA259279AU  VA001   1T 19/4</t>
  </si>
  <si>
    <t>B04B VA106-A  17/4</t>
  </si>
  <si>
    <t>SA170299A(U) VA042 2.5T  22/4</t>
  </si>
  <si>
    <t>B1124(C60/ETB40) VA026  1T  17/4</t>
  </si>
  <si>
    <t>SO249134ACVC VB001 1CA 17/4 kt</t>
  </si>
  <si>
    <t>SO259216A  VB002  1CA 17/4 kt</t>
  </si>
  <si>
    <t>BCVC2622 VB006 1T 16/4  3*9 kt</t>
  </si>
  <si>
    <t>B1124(C60/ETB40) VA026  1T  17/4  6*7</t>
  </si>
  <si>
    <t>B1067  VA135  2CA 17/4  kt</t>
  </si>
  <si>
    <t>BA37L(C60/ERT40-U) VA013  1CA 18/4 kt</t>
  </si>
  <si>
    <t>BM(70M)1068(BPM-AA) VA007  1.5T 20/4 3*9</t>
  </si>
  <si>
    <t>B3NPL016(ERT60/OC40) VB001  1CA 18/4</t>
  </si>
  <si>
    <t>B2452 VB009  1T  23/4</t>
  </si>
  <si>
    <t>BPMAB066 va001  sợi B- sợi A 18/4</t>
  </si>
  <si>
    <t>SA239394ABP-U va008  1ca 19/4</t>
  </si>
  <si>
    <t>cơ</t>
  </si>
  <si>
    <t>BC02  VB093 KT</t>
  </si>
  <si>
    <t>BC04 VB064 BÙ VB061  KT</t>
  </si>
  <si>
    <t>B2878(C50/RE50-AA) VB005 2CA 18/4 kt</t>
  </si>
  <si>
    <t>B2621 VB083  1T  18/4 1*8 kt</t>
  </si>
  <si>
    <t>SGR01899E VB022 2T 19/4  8*16 kt</t>
  </si>
  <si>
    <t>SO259231AC60/RE40 VB001  CHẠY 1kg sợi con giao khách kt</t>
  </si>
  <si>
    <t>BCVC(5)1068 VA018  1.5T  20/4  7*10</t>
  </si>
  <si>
    <t>SGR92083B VB144 7T  18/4</t>
  </si>
  <si>
    <t>BNC04C(OCN)  VB001  1CA 21/4</t>
  </si>
  <si>
    <t>BVA004A VA022 10T 21/4</t>
  </si>
  <si>
    <t>B04B VA106 KT</t>
  </si>
  <si>
    <t>B0212 VB053  1.5T  20/4 12*16</t>
  </si>
  <si>
    <t>B2878 VB006 2CA 19/4 kt</t>
  </si>
  <si>
    <t>BC04(D) TJVB001UB-A  2CA 20/4  1*3</t>
  </si>
  <si>
    <t>B1123  VA010 1CA 21/4  kt</t>
  </si>
  <si>
    <t>B1069(OC80/ERT20-AA) VA007  4T 25/4 13*23</t>
  </si>
  <si>
    <t>BPM1069 VA093  1CA  20/4 0*4 kt</t>
  </si>
  <si>
    <t>B09B VA105  1CA  19/4</t>
  </si>
  <si>
    <t>BC03 VB068 25T 19/4</t>
  </si>
  <si>
    <t>BC03 VB070  1CA 20/4</t>
  </si>
  <si>
    <t>VB075   B0278 16T  21/4</t>
  </si>
  <si>
    <t>VB075   B0278 16T  24/4</t>
  </si>
  <si>
    <r>
      <t xml:space="preserve">SO152767C(XY) VB069 </t>
    </r>
    <r>
      <rPr>
        <b/>
        <sz val="15"/>
        <color rgb="FFFF0000"/>
        <rFont val="Times New Roman"/>
        <family val="1"/>
      </rPr>
      <t>sợi X</t>
    </r>
    <r>
      <rPr>
        <b/>
        <sz val="15"/>
        <color theme="1"/>
        <rFont val="Times New Roman"/>
        <family val="1"/>
      </rPr>
      <t xml:space="preserve">  3T 21/4 4*12</t>
    </r>
  </si>
  <si>
    <t>B2789 VB013  2CA 22/4</t>
  </si>
  <si>
    <t>BNC01(OCN) VB004  1CA 22/4</t>
  </si>
  <si>
    <t>BUM051AER30-AA-U VA009  2CA 20/4</t>
  </si>
  <si>
    <t>B1069 VA204  1T  23/4</t>
  </si>
  <si>
    <t>SA192462AU VA015  1T  26/4</t>
  </si>
  <si>
    <t>SA170299A(U) VA042 2.5T  19/4  14*16</t>
  </si>
  <si>
    <t>BVA004A VA022 10T 26/4 V2 FU 21/4</t>
  </si>
  <si>
    <t>B1068 VA140  10T 4/5</t>
  </si>
  <si>
    <t>B1124 va016 31/5</t>
  </si>
  <si>
    <t>SO15163A 3VB023 5T  21/4  17*31</t>
  </si>
  <si>
    <t>B0210 VB131   1CA  22/4</t>
  </si>
  <si>
    <t>B2621  VB084  2CA 23/4</t>
  </si>
  <si>
    <t>BM0212 VB005  2CA  26/4</t>
  </si>
  <si>
    <t>SO259220B  VB002  2CA  21/4  1*3</t>
  </si>
  <si>
    <t>B0214 VB048 1CA 22/4</t>
  </si>
  <si>
    <t>B1FA002 VB001 2CA 6*8 kt</t>
  </si>
  <si>
    <t>BSO4128BBOC10  VB001  2CA 23/4 kt</t>
  </si>
  <si>
    <t>SA239212AAG3G  3JVA002  16/5 kt</t>
  </si>
  <si>
    <r>
      <t>B04B VA106</t>
    </r>
    <r>
      <rPr>
        <sz val="13"/>
        <color rgb="FFFF0000"/>
        <rFont val="Times New Roman"/>
        <family val="1"/>
      </rPr>
      <t>-A  10/5 kt</t>
    </r>
  </si>
  <si>
    <t>B1067  VA136 2.5T 22/4  12*16</t>
  </si>
  <si>
    <t>SA259279AU VA002  2CA 23/4</t>
  </si>
  <si>
    <t>SA192462AU VA015  1T  22/4  2*7</t>
  </si>
  <si>
    <t>BCVC1019 VA045  1CA 20/4</t>
  </si>
  <si>
    <t>SO15163A 3VB023 thêm 550 LB do v2 chạy sai 23/4</t>
  </si>
  <si>
    <t>B06A(FH18)(BOC10) VA099 12T  24/4</t>
  </si>
  <si>
    <r>
      <t xml:space="preserve">B06A(FH18)(BOC10) VA099 12T </t>
    </r>
    <r>
      <rPr>
        <sz val="13"/>
        <color rgb="FFFF0000"/>
        <rFont val="Times New Roman"/>
        <family val="1"/>
      </rPr>
      <t>25/4</t>
    </r>
  </si>
  <si>
    <t xml:space="preserve">B12B VA148 </t>
  </si>
  <si>
    <t>B1114 3JUVA019 7T 4/5</t>
  </si>
  <si>
    <t>B1069 VA204  1T 20/4 kt</t>
  </si>
  <si>
    <t>B1067 VA138 2ca  22/4</t>
  </si>
  <si>
    <t>BTCC02 VB043  2CA  2/5</t>
  </si>
  <si>
    <t>B2449  VB012  1CA  25/4</t>
  </si>
  <si>
    <t xml:space="preserve">B2FA002 vb001  1ca  </t>
  </si>
  <si>
    <t>B2FA001 VB001  1CA  kt</t>
  </si>
  <si>
    <r>
      <t xml:space="preserve">B1067 VA138 </t>
    </r>
    <r>
      <rPr>
        <b/>
        <sz val="14"/>
        <color rgb="FFFF0000"/>
        <rFont val="Times New Roman"/>
        <family val="1"/>
      </rPr>
      <t>chạy trc 926 LB</t>
    </r>
    <r>
      <rPr>
        <b/>
        <sz val="14"/>
        <color theme="1"/>
        <rFont val="Times New Roman"/>
        <family val="1"/>
      </rPr>
      <t xml:space="preserve"> 2ca 22/4  0*4</t>
    </r>
  </si>
  <si>
    <t>BA37L(U) VA167  1CA 23/4</t>
  </si>
  <si>
    <t>B0284(OCR) VA004  1CA  24/4</t>
  </si>
  <si>
    <t>BM1124 va001  1ca  21/4  0*4 kt</t>
  </si>
  <si>
    <t>B0285  3JVB024  1T  22/4 6*8</t>
  </si>
  <si>
    <r>
      <t xml:space="preserve">SO152767C(XY) VB069 </t>
    </r>
    <r>
      <rPr>
        <b/>
        <sz val="15"/>
        <color rgb="FFFF0000"/>
        <rFont val="Times New Roman"/>
        <family val="1"/>
      </rPr>
      <t>XY</t>
    </r>
    <r>
      <rPr>
        <b/>
        <sz val="15"/>
        <rFont val="Times New Roman"/>
        <family val="1"/>
      </rPr>
      <t xml:space="preserve"> 7T 26/4</t>
    </r>
  </si>
  <si>
    <t>VB075   B0278 16T  22/4 kt</t>
  </si>
  <si>
    <t>BOC0210  VB007  2CA 23/4</t>
  </si>
  <si>
    <t>BC03 VB068  kt</t>
  </si>
  <si>
    <t>B0278 VB074   20T 23/4 kt</t>
  </si>
  <si>
    <t>BC02 VB105</t>
  </si>
  <si>
    <t>SA170299A(BM100-AA-U)  VA005  2ca  chạy lại    20/4 kt</t>
  </si>
  <si>
    <t>B0217(OCN)  VB001  1CA 24/4</t>
  </si>
  <si>
    <t>SO230485BXY VB001  SỢI X 1CA  25/4</t>
  </si>
  <si>
    <t>B0284(OCN) va016   3.5T  25/4    18*23</t>
  </si>
  <si>
    <t>BM(50)AB066  VA001 SỢI B-A 1CA 23/4 kt</t>
  </si>
  <si>
    <t>BM(70M)1068(BPM-AA) VA007 chạy lại 1.5T 24/4  5*9</t>
  </si>
  <si>
    <t>SO259130AHP100  VB002  2CA 24/4 kt</t>
  </si>
  <si>
    <t>SO00195C  VB007  2CA 24/4 0*3</t>
  </si>
  <si>
    <t>B2FA006 VB001 1CA kt</t>
  </si>
  <si>
    <t>B2214 VB124  1T  24/4  14*16</t>
  </si>
  <si>
    <t>B0208(C60/ETB40) VB023 10T  24/4 kt</t>
  </si>
  <si>
    <t>BM0208 VB033  3T  25/4   24*26</t>
  </si>
  <si>
    <t>BOC1069 VA016  5T  23/4</t>
  </si>
  <si>
    <t>SGR92083B VB146  8T 26/4</t>
  </si>
  <si>
    <t>BPM2212 VB001US  4T 24/4  28*31</t>
  </si>
  <si>
    <t>B0208 VB069  2.5T  24/4   11*16</t>
  </si>
  <si>
    <t>B1069  VA204  1T 24/4  0*8 kt</t>
  </si>
  <si>
    <t>B1029P(EA30)  VA022  1CA 24/4 kt</t>
  </si>
  <si>
    <t>B1004(C60/ETB40) VA017 2CA 25/4 0*7</t>
  </si>
  <si>
    <t>SO259273A  VB001  2CA 25/4 kt</t>
  </si>
  <si>
    <t>SGR92083B(BPM) VB009  1CA  25/4 1*3</t>
  </si>
  <si>
    <t>B3FA004 VB001 1CA kt</t>
  </si>
  <si>
    <t>SGR92083B(CVC-AA) VB040  1.5T 24/4 6*8</t>
  </si>
  <si>
    <t>B0208(C60/ETB40) VB024  2CA  25/4 4*9</t>
  </si>
  <si>
    <t>BM(50)07B(AA) va007  7T  8/5</t>
  </si>
  <si>
    <t>B2886(OCR) VB003  1T  25/4  4*8</t>
  </si>
  <si>
    <t>B0209 3JVB038  1T    25/4 0*8</t>
  </si>
  <si>
    <t>B1114 3JUVA019    7T   2/5</t>
  </si>
  <si>
    <t>B0208  VB068  1CA 25/4</t>
  </si>
  <si>
    <t>BOC2781 VB003  1CA 26/4 kt</t>
  </si>
  <si>
    <t>BC03 VB071  2CA  25/4 0*8 KT</t>
  </si>
  <si>
    <r>
      <t xml:space="preserve">B1FA003 vb001 2ca </t>
    </r>
    <r>
      <rPr>
        <sz val="15"/>
        <color rgb="FFFF0000"/>
        <rFont val="Times New Roman"/>
        <family val="1"/>
      </rPr>
      <t>chạy lại KT</t>
    </r>
  </si>
  <si>
    <t>SA219061C VB034  2CA 26/4 KT</t>
  </si>
  <si>
    <t>BFC13-03(BM) VB002  1CA  24/4 KT</t>
  </si>
  <si>
    <t>BTC0285 VB026  2CA  24/4</t>
  </si>
  <si>
    <t>BCVC0208 VB050  1CA 24/4</t>
  </si>
  <si>
    <t>BUM051AER30-AA-U VA010  1CA 27/4</t>
  </si>
  <si>
    <t>SP41942A(BCC-U) VA001  1T 24/4 5*7 KT</t>
  </si>
  <si>
    <t>BTC12B VA055  2CA  26/4  1*4</t>
  </si>
  <si>
    <t>SO259276A VB001  2CA 27/4</t>
  </si>
  <si>
    <t>B2656  VB059 1CA 28/4</t>
  </si>
  <si>
    <t>B2207  VA015  2CA 2/5</t>
  </si>
  <si>
    <r>
      <t xml:space="preserve">SO201827AXY vb001  </t>
    </r>
    <r>
      <rPr>
        <sz val="15"/>
        <color rgb="FFFF0000"/>
        <rFont val="Times New Roman"/>
        <family val="1"/>
      </rPr>
      <t>sợi X</t>
    </r>
    <r>
      <rPr>
        <sz val="15"/>
        <color theme="1"/>
        <rFont val="Times New Roman"/>
        <family val="1"/>
      </rPr>
      <t xml:space="preserve"> 1CA   25/4</t>
    </r>
  </si>
  <si>
    <t>B2782 VB014  1CA 27/4</t>
  </si>
  <si>
    <t>B0285(BPM50/OCR50) VB002  1CA  27/4</t>
  </si>
  <si>
    <t>BA37L(U)  VA168  1CA 27/4</t>
  </si>
  <si>
    <t>B1068 VA140  10T  25/4 kt</t>
  </si>
  <si>
    <t>BPM2299DN VB002  1T  25/4 kt</t>
  </si>
  <si>
    <t>B06B  VA065US  1.5T 26/4  7*10</t>
  </si>
  <si>
    <t>BOC12B VA005  2.5T   28/4   13*23</t>
  </si>
  <si>
    <t>B2798 VB016  2CA  27/4 2*8</t>
  </si>
  <si>
    <t>B0210(OCN) VB029 2CA  26/4 5*8</t>
  </si>
  <si>
    <t>B0278  VB076 BÙ VB075 11T 28/4</t>
  </si>
  <si>
    <t>B2FA003 vb001 1ca  kt</t>
  </si>
  <si>
    <t>BNC04C VB045  2CA  26/4 0*3</t>
  </si>
  <si>
    <t>BCVC0281(BPM) VB008   1T  26/4  4*8 ngưng kt</t>
  </si>
  <si>
    <t>B0294(C60/ETB40) VB004 31T 28/4</t>
  </si>
  <si>
    <t>SO00195C VB006  8T  26/4 kt</t>
  </si>
  <si>
    <t xml:space="preserve">SA170299A(OCR-U) va003  1.5T 26/4  8*10 NGƯNG </t>
  </si>
  <si>
    <t>SA240274ACVC VB007  1T  26/4  7*9</t>
  </si>
  <si>
    <t>B2789(C60/ERT40) vb001  1ca  27/4</t>
  </si>
  <si>
    <t>BM0212 VB006  1CA 27/4</t>
  </si>
  <si>
    <t>BMC03 VB011  1CA  28/4</t>
  </si>
  <si>
    <r>
      <t xml:space="preserve">SO201827AXY vb001  </t>
    </r>
    <r>
      <rPr>
        <sz val="15"/>
        <color rgb="FFFF0000"/>
        <rFont val="Times New Roman"/>
        <family val="1"/>
      </rPr>
      <t>XY</t>
    </r>
    <r>
      <rPr>
        <sz val="15"/>
        <color theme="1"/>
        <rFont val="Times New Roman"/>
        <family val="1"/>
      </rPr>
      <t xml:space="preserve"> 1T  28/4</t>
    </r>
  </si>
  <si>
    <t>B2789  VB014  1CA 2/5</t>
  </si>
  <si>
    <t>BNC01(OCN) VB005  1CA 28/4</t>
  </si>
  <si>
    <t>B0280 VB041  1T  4/5</t>
  </si>
  <si>
    <t>B11B va095  1.5T 27/4   1*8</t>
  </si>
  <si>
    <t>B1F009B  JUVA001M  1ca 28/4</t>
  </si>
  <si>
    <t>B1F010B  JUVA001M  1ca 28/4</t>
  </si>
  <si>
    <t>B1F011B  JUVA001M  1ca 28/4</t>
  </si>
  <si>
    <t>B1F012B  JUVA001M  1ca 28/4</t>
  </si>
  <si>
    <t>B1F013B  JUVA001M  1ca 28/4</t>
  </si>
  <si>
    <t>B1F014B  JUVA001M 1ca 28/4</t>
  </si>
  <si>
    <t>B1F015B  JUVA001M 1ca 28/4</t>
  </si>
  <si>
    <t>B1F016B  JUVA001M 1ca  28/4</t>
  </si>
  <si>
    <t>BOC0475 VA001  1CA 3/5</t>
  </si>
  <si>
    <t>BPL(20)1068  VA019 1CA 4/5</t>
  </si>
  <si>
    <t>B1052  VA042  1CA  28/4</t>
  </si>
  <si>
    <t>BCVC12B VA074  1T  27/4  3*7</t>
  </si>
  <si>
    <t>B2889(AA) VB001 1CA 27/4 KT</t>
  </si>
  <si>
    <r>
      <t xml:space="preserve">SO230485BXY VB001 </t>
    </r>
    <r>
      <rPr>
        <sz val="15"/>
        <color rgb="FFFF0000"/>
        <rFont val="Times New Roman"/>
        <family val="1"/>
      </rPr>
      <t>XY</t>
    </r>
    <r>
      <rPr>
        <sz val="15"/>
        <color theme="1"/>
        <rFont val="Times New Roman"/>
        <family val="1"/>
      </rPr>
      <t xml:space="preserve"> 2CA  26/4 0*3</t>
    </r>
  </si>
  <si>
    <t>B2F040B JUVA001M  1CA 2/5</t>
  </si>
  <si>
    <t>B2F049B JUVA001M  1CA 2/5</t>
  </si>
  <si>
    <t>B1FA001 VB001 2CA KT</t>
  </si>
  <si>
    <t>SGR92083B VB145  3T 28/4  19*23</t>
  </si>
  <si>
    <t>BM(B)0212 vb001  1ca  28/4 KT</t>
  </si>
  <si>
    <t>B2F050B JUVA001M  1CA 2/5 KT</t>
  </si>
  <si>
    <t>SR249371BU  VA001   2CA  3/5 0*4</t>
  </si>
  <si>
    <t>BCVC(40ET)0278 VB003  1CA  2/5</t>
  </si>
  <si>
    <t>B0283 VB044  1CA 2/5</t>
  </si>
  <si>
    <t>BC02 VB097 11/5</t>
  </si>
  <si>
    <t>B05 VB077  5/5</t>
  </si>
  <si>
    <t>B05 VB077 bù VB075 26T 6/5</t>
  </si>
  <si>
    <t>B1069 VA205   8T   4/5</t>
  </si>
  <si>
    <t>B1069  VA208US  2CA  6/5</t>
  </si>
  <si>
    <t>BC02 VB097 18/5</t>
  </si>
  <si>
    <t>BC02  VB097 18/5</t>
  </si>
  <si>
    <t>B0208  VB069  24/4 KT</t>
  </si>
  <si>
    <t>B05 VB076 KT</t>
  </si>
  <si>
    <t>B0281 VB074  2T  16/5,27/4</t>
  </si>
  <si>
    <t>BC03 VB071  2CA  9/5 KT</t>
  </si>
  <si>
    <t>B2782(C60/ETB40) VB005  5T   3/5 30*31</t>
  </si>
  <si>
    <t>B0281  VB074  1.5T 4/5  5*16</t>
  </si>
  <si>
    <t>BFC13-16  VB002  1CA 3/5 KT</t>
  </si>
  <si>
    <t>B0294(C60/ETB40) VB004 31T 3/5 KT</t>
  </si>
  <si>
    <t>BCVC0280 VB002  1CA 3/5 KT</t>
  </si>
  <si>
    <t>B1069 VA207 SỢI B 2CA 3/5  5*7</t>
  </si>
  <si>
    <t>SA191068BOCR-U  VA006  1CA 2/5   1*4</t>
  </si>
  <si>
    <t>B1FA004 VB004 2CA  KT</t>
  </si>
  <si>
    <t>BTE(LF)0208 vb003  1ca 5/5</t>
  </si>
  <si>
    <t>B4F019B  JUVA001M   1CA   3/5</t>
  </si>
  <si>
    <t>B4F020B   JUVA001M   1CA   3/5</t>
  </si>
  <si>
    <t>B2F037B  JUVA001M   1CA   3/5</t>
  </si>
  <si>
    <t>B2F038B  JUVA001M   1CA   3/5</t>
  </si>
  <si>
    <t>BCVC07B VA092  1CA  6/5</t>
  </si>
  <si>
    <t>BCVC(40ET)07B VA003  1CA 7/5</t>
  </si>
  <si>
    <t>B1069  VA207 SỢI B KT</t>
  </si>
  <si>
    <t>BCVC0281(BPM) VB008 1T 4/5  4*8</t>
  </si>
  <si>
    <t>BM0208 VB034  3T 5/5   14*23</t>
  </si>
  <si>
    <t>SO15163A  VB024  1CA 4/5  kt</t>
  </si>
  <si>
    <t>BC15(C60/ERT40) VB004  2.5T 7/5  11*16</t>
  </si>
  <si>
    <t>BM0279 vb006  2ca  4/5   3*4</t>
  </si>
  <si>
    <t>B2F039B  JUVA001M   1CA   3/5 kt</t>
  </si>
  <si>
    <t>SA170299A(OCR-U) va003 CHẠY LẠI SỢI B 2CA  5/5  5*7</t>
  </si>
  <si>
    <t>B06A(T65/TE35-AA) va013 4T  5/5  20*26</t>
  </si>
  <si>
    <t>B0208  VB070  2T 6/5  3*16</t>
  </si>
  <si>
    <t>BC03  VB072  2CA 8/5</t>
  </si>
  <si>
    <t>B06A(BOC20-AA) VA019 1.5T  4/5 4*10</t>
  </si>
  <si>
    <t>B2F051B  JUVA001M   1CA   4/5 kt</t>
  </si>
  <si>
    <t>B2F052B  JUVA001M   1CA   4/5 kt</t>
  </si>
  <si>
    <t>B4F025B   JUVA001M   1CA   4/5</t>
  </si>
  <si>
    <t>B4F026B   JUVA001M   1CA   5/5</t>
  </si>
  <si>
    <t>B4F027B   JUVA001M   1CA   5/5</t>
  </si>
  <si>
    <t>B4F028B   JUVA001M   1CA   5/5</t>
  </si>
  <si>
    <t>SA239212AAG3G  3JVA002  3/5</t>
  </si>
  <si>
    <t>SA239212AC57/M20/ETB20/AG3G VA001  1CA  5/5</t>
  </si>
  <si>
    <t>SB249121BC57/M20/ETB20/AG3G VA001  1CA  5/5</t>
  </si>
  <si>
    <t>SA155794D(ER10-XY-U) VA016  sợi X-XY  1CA 6/5</t>
  </si>
  <si>
    <t>B11B  VA096  2CA 10/5</t>
  </si>
  <si>
    <r>
      <t xml:space="preserve">BM0214 VB004  3.5T  9/5  4*23 </t>
    </r>
    <r>
      <rPr>
        <b/>
        <sz val="15"/>
        <color rgb="FFFF0000"/>
        <rFont val="Times New Roman"/>
        <family val="1"/>
      </rPr>
      <t>chạy 5 búp xuống máy</t>
    </r>
  </si>
  <si>
    <t>SA259319ABPM VB001  1CA  4/5</t>
  </si>
  <si>
    <t>B4F017B   JUVA001M   1CA   5/5</t>
  </si>
  <si>
    <t>B0281 VB075  1T  5/5 6*8</t>
  </si>
  <si>
    <t>B0281 VB076  1CA  6/5</t>
  </si>
  <si>
    <t>SGR92083B  VB148 2CA 5/5 0*3</t>
  </si>
  <si>
    <t>B0278(C60/ETB40) VB006  10T  8/5</t>
  </si>
  <si>
    <t>SO206427IBPM-DN VB006 2CA 5/5  kt</t>
  </si>
  <si>
    <t>BTR(30)0210 VB002  1CA  5/5  kt</t>
  </si>
  <si>
    <t>BA37L(U) VA169  2CA  8/5 kt</t>
  </si>
  <si>
    <t>B4F018B   JUVA001M   1CA   5/5 kt</t>
  </si>
  <si>
    <t>B1069(OCN)   VA057  1T  7/5  kt</t>
  </si>
  <si>
    <t>BCVC2746 VB001  1CA  6/5</t>
  </si>
  <si>
    <t>B2NO019(OCR)  VB005  2CA 6/5</t>
  </si>
  <si>
    <t>B2347  VB083  1CA 7/5</t>
  </si>
  <si>
    <t>B2366 VB070 5T  5/5  29*31</t>
  </si>
  <si>
    <t>SO249374B VB001 2CA  6/5</t>
  </si>
  <si>
    <t>B2879(C60/RE40) vb001  1ca  7/5</t>
  </si>
  <si>
    <t>BCVC2282 VB001  1CA  8/5</t>
  </si>
  <si>
    <t>B1047 VA029  1CA 6/5</t>
  </si>
  <si>
    <t>BPM(70)07B VA001  1T 6/5  3*7</t>
  </si>
  <si>
    <t>BM1020 va008 2ca  7/5</t>
  </si>
  <si>
    <t>B1123  VA011  1CA 6/5</t>
  </si>
  <si>
    <t>B06A(FH18)(M50/C45/OC5-AA) VA011 1CA 8/5</t>
  </si>
  <si>
    <t>B05  VB077  6/5 KT</t>
  </si>
  <si>
    <t>B0208 vb070 2T  21/5,2/5 KT</t>
  </si>
  <si>
    <t>BNC04C(CVC) vb024 7/5 KT</t>
  </si>
  <si>
    <t>SA239212AAG3G  3JVA002  7/5</t>
  </si>
  <si>
    <t>SO259261AAB VB001 SỢI B- SỢI A 2CA 8/5</t>
  </si>
  <si>
    <t xml:space="preserve"> BNC04C(CVC) VB024  6/5 KT</t>
  </si>
  <si>
    <t>SO211002BECS vb001  sợi B- sợi A  2ca  7/5 0*3+3 KT</t>
  </si>
  <si>
    <t>B2881 VB007  1CA  7/5 KT</t>
  </si>
  <si>
    <t>SA215376B  VB023 1CA 7/5 2*3</t>
  </si>
  <si>
    <t>B2793 VB013  2ca  7/5 3*8</t>
  </si>
  <si>
    <t>B2FA009 VB001  1CA 3/5 KT</t>
  </si>
  <si>
    <t>B1019  VA124  1CA 6/5</t>
  </si>
  <si>
    <t>SO41269A(BPM50-U) JUVA011U 1ca 6/5  2*4</t>
  </si>
  <si>
    <t>B1044  VA011  1CA  7/5 KT</t>
  </si>
  <si>
    <t>SGR82938A(BOC10-U) VA022 12T  7/5 KT</t>
  </si>
  <si>
    <t>BM(100)1062 VA001  1CA 6/5 0*4</t>
  </si>
  <si>
    <t>B07B(C60/ETB40) VA008 10T 7/5</t>
  </si>
  <si>
    <t>BM(100)1097 VA001  1CA  9/5</t>
  </si>
  <si>
    <t>BM(100M)2347 VB002  1CA 8/5</t>
  </si>
  <si>
    <t>SO259231AC60/RE40 VB001  3T  6/5  15*16</t>
  </si>
  <si>
    <t>B09B(C60/ETB40) va023 2ca 8/5</t>
  </si>
  <si>
    <t>B1052  VA043  2CA  8/5</t>
  </si>
  <si>
    <t>SA239181BBM VB005  3T  7/5   17*23</t>
  </si>
  <si>
    <r>
      <t xml:space="preserve">BC02   </t>
    </r>
    <r>
      <rPr>
        <b/>
        <sz val="15"/>
        <color rgb="FFFF0000"/>
        <rFont val="Times New Roman"/>
        <family val="1"/>
      </rPr>
      <t>VB105  11/5</t>
    </r>
  </si>
  <si>
    <t>B07B VA128  kt</t>
  </si>
  <si>
    <t>B1069 VA205 8T   3/5  kt</t>
  </si>
  <si>
    <t>B07B(C60/ETB40) VA008 10T 11/5 kt</t>
  </si>
  <si>
    <t>SGR92083B(BPM20)-RM vb010 1T  7/5 5*8</t>
  </si>
  <si>
    <t>B0285 VB025 3.5T  7/5  20*23 kt</t>
  </si>
  <si>
    <t>SO259273A VB002  1CA 8/5 kt</t>
  </si>
  <si>
    <t>SGR92083B(CR30-AA) vb023  2ca  7/5 0*4 kt</t>
  </si>
  <si>
    <t>B09B  VA106  2CA 7/5  0*3</t>
  </si>
  <si>
    <t>BUM051AER30-AA-U va011 1T  7/5  6*7</t>
  </si>
  <si>
    <t>SA248530ABM100-U VA001  1CA  10/5 kt</t>
  </si>
  <si>
    <t>SGR92083B VB147  2CA 7/5 1*3</t>
  </si>
  <si>
    <t>B062(OCN)  VA001  1CA 8/5</t>
  </si>
  <si>
    <t>B2F033B JUVA001M  1ca  8/5</t>
  </si>
  <si>
    <t>B2F034B JUVA001M  1ca  8/5</t>
  </si>
  <si>
    <t>B2F035B JUVA001M  1ca  8/5</t>
  </si>
  <si>
    <t>B2F036B JUVA001M  1ca  8/5</t>
  </si>
  <si>
    <t>BCR2366 VB001  2T  9/5 13*16</t>
  </si>
  <si>
    <t>BMC03(AA) VB012  1T  9/5 0*8 ngưng</t>
  </si>
  <si>
    <t>SA259083ABPM JVB002H 2CA 10/5 kt</t>
  </si>
  <si>
    <t>BNC04C VB046  2CA 8/5 kt</t>
  </si>
  <si>
    <t>SO152767C(XY) VB070 SỢI X-  XY  2CA  8/5 0*3</t>
  </si>
  <si>
    <t>BSA3871ACR30-AA VB002  1CA 9/5 kt</t>
  </si>
  <si>
    <t>SA170299A(C60/M20/ETB20-U) VA003 1.5T 8/5  2*8 kt</t>
  </si>
  <si>
    <t>B04B(AA)  VA110  SỢI A- SỢI B 2CA 9/5 6*8+8</t>
  </si>
  <si>
    <t>SA229142AU VA017 2CA 8/5  6*8</t>
  </si>
  <si>
    <t>BPM(50)1068  VA006  2CA 9/5  3*4</t>
  </si>
  <si>
    <t>B8F051B JUVA001M  1ca  8/5  0*2</t>
  </si>
  <si>
    <t>B8F050B JUVA001M  1ca  8/5</t>
  </si>
  <si>
    <t>B8F049B JUVA001M  1ca  8/5</t>
  </si>
  <si>
    <t>B6F012B JUVA001M  1ca  8/5</t>
  </si>
  <si>
    <t>B6F011B JUVA001M  1ca  8/5</t>
  </si>
  <si>
    <t>B6F010B JUVA001M  1ca  8/5</t>
  </si>
  <si>
    <t>B6F009B JUVA001M  1ca  8/5</t>
  </si>
  <si>
    <t>BPM03 VB001  8T  12/5</t>
  </si>
  <si>
    <t>SO259318DBPM  VB001  1CA  10/5 kt</t>
  </si>
  <si>
    <t>B0202 vb034  2ca  9/5 kt</t>
  </si>
  <si>
    <t>SGR92083B(BPM20) VB029  2CA 9/5 kt</t>
  </si>
  <si>
    <t>SO229159ABM VB020 2T  10/5  11*16 kt</t>
  </si>
  <si>
    <t>B2782(OCN)  VB003  1CCA 9/5 kt</t>
  </si>
  <si>
    <t>BCVC04B  VA081 1.5T 10/5  9*16</t>
  </si>
  <si>
    <t>B8F052B JUVA001M  1ca  8/5 kt</t>
  </si>
  <si>
    <t>SA192462A  VA016  1.5T 13/5   1*8</t>
  </si>
  <si>
    <t>SO202477E  VB023  2CA 14/5</t>
  </si>
  <si>
    <r>
      <t xml:space="preserve">BC02   </t>
    </r>
    <r>
      <rPr>
        <b/>
        <sz val="15"/>
        <color rgb="FFFF0000"/>
        <rFont val="Times New Roman"/>
        <family val="1"/>
      </rPr>
      <t>VB105  10/5</t>
    </r>
  </si>
  <si>
    <t>BCVC(40ETB)104 VA057 27T  11/5</t>
  </si>
  <si>
    <t>B5UT01(C60/M20/ETB20) va001  2ca 12/5</t>
  </si>
  <si>
    <t>BNC04C VB047   9T  6/6 DỰ BỊ</t>
  </si>
  <si>
    <r>
      <t xml:space="preserve">B2652  VA053  2ca </t>
    </r>
    <r>
      <rPr>
        <b/>
        <sz val="13"/>
        <color rgb="FFFF0000"/>
        <rFont val="Times New Roman"/>
        <family val="1"/>
      </rPr>
      <t xml:space="preserve">CHẠY trước 263 LB </t>
    </r>
    <r>
      <rPr>
        <b/>
        <sz val="13"/>
        <color theme="1"/>
        <rFont val="Times New Roman"/>
        <family val="1"/>
      </rPr>
      <t>13/5</t>
    </r>
  </si>
  <si>
    <t>B2347 VB084  1CA 10/5</t>
  </si>
  <si>
    <t>SA215376B  VB024  1CA  10/5</t>
  </si>
  <si>
    <t>B0281  VB075 SỢI B 1T 12/5  5*8</t>
  </si>
  <si>
    <t>SO206427I VB034  1.5T  13/5  5*16</t>
  </si>
  <si>
    <t>SO259138ABM100M vb001  1ca  9/5 0*4 kt</t>
  </si>
  <si>
    <t>SA200871ABM50-AA-U va002  1ca  11/5 kt</t>
  </si>
  <si>
    <t>B1124(OCR)  VA002  2CA 10/5   0*4</t>
  </si>
  <si>
    <t>B0284  VA024  1CA 11/5</t>
  </si>
  <si>
    <t>BVA004A VA023+va024  4T   13/5  10*23</t>
  </si>
  <si>
    <t>BM(70M)1068(BPM-AA) VA008 2.5T 12/5  9*17</t>
  </si>
  <si>
    <t>B2NPL027  VB001  1CA 10/5  0*3</t>
  </si>
  <si>
    <t>BC04  VB067  1CA  11/5</t>
  </si>
  <si>
    <t>B2874 VB008 1T 14/5</t>
  </si>
  <si>
    <t>BC02  VB097 13/5</t>
  </si>
  <si>
    <t>SO01731E  VB004  1CA 11/5</t>
  </si>
  <si>
    <t>SO17056F  VB021  1CA  11/5</t>
  </si>
  <si>
    <t>SA239212AAG3G  3JVA003  12/5</t>
  </si>
  <si>
    <t xml:space="preserve">B8F055B JUVA001M  1ca  11/5 </t>
  </si>
  <si>
    <t xml:space="preserve">B8F056B JUVA001M  1ca  11/5 </t>
  </si>
  <si>
    <t>B4F021B   JUVA001M   1CA  11/5</t>
  </si>
  <si>
    <t>B4F022B   JUVA001M   1CA  11/5</t>
  </si>
  <si>
    <t>BM(100)1105 VA001  1CA  14/5</t>
  </si>
  <si>
    <t>BM(70M)1115(BPM-AA) va001  1ca  15/5</t>
  </si>
  <si>
    <t>BM1047 va001  1ca  18/5</t>
  </si>
  <si>
    <t>B1119 VA004  2CA  18/5</t>
  </si>
  <si>
    <t>BFC26-05(C60/M20/ETB20) va001  2ca 13/5</t>
  </si>
  <si>
    <t>B0279(C60/ETB40) VB011 20T 13/5</t>
  </si>
  <si>
    <t>SA239212AAG3G  3JVA003 10/5 13*16  kt</t>
  </si>
  <si>
    <t>B04B  VA111 4T 12/5  23*23 + 11*16</t>
  </si>
  <si>
    <t>SA170299A(OCR-U) VA004  sợi A thêm - sợi B  1T  15/5 KT</t>
  </si>
  <si>
    <t>BCVC07B VA093   1CA  12/5   0*4</t>
  </si>
  <si>
    <t>SA239212AAG3G  3JVA003 11/5 KT</t>
  </si>
  <si>
    <t>SGR92083B  VB149  2CA 15/5 KT</t>
  </si>
  <si>
    <t>SO15163A vb025  2ca  15/5 KT</t>
  </si>
  <si>
    <t>SO259329ABM100 vb001  1ca  10/5 KT</t>
  </si>
  <si>
    <t>B0210(OCR) VB014 3T  13/5  14*23</t>
  </si>
  <si>
    <t>B03(OCN) VB002  3T  12/5  20*23</t>
  </si>
  <si>
    <t>BMC03(AA) VB012  1T 13/5  3*8</t>
  </si>
  <si>
    <t>BCVC104  VB068  1CA 13/5</t>
  </si>
  <si>
    <t>B2652  VA053-A  8T   21/5</t>
  </si>
  <si>
    <t>BPM(20)1115  VA001  1CA  14/5</t>
  </si>
  <si>
    <t>BMC03(AA) VB012  1T  12/5 KT</t>
  </si>
  <si>
    <t>B0285 VB026  1T  15/5</t>
  </si>
  <si>
    <t>BVA004N  VA011   2CA 20/5 kt</t>
  </si>
  <si>
    <t>B7F012B   JUVA001M   1CA   13/5 kt</t>
  </si>
  <si>
    <t>SA239212AAG3G VA004  8T  23/5</t>
  </si>
  <si>
    <t>B1069  VA206  2CA  13/5 1*4</t>
  </si>
  <si>
    <t>B11B va097  2ca  13/5  3*4</t>
  </si>
  <si>
    <t>B1069(OCR) va006 1.5T  17/5  11*16</t>
  </si>
  <si>
    <t>BTC0201 VB025  5T  13/5   29*31</t>
  </si>
  <si>
    <t>SGR92083B  VB150  1ca  13/5 kt</t>
  </si>
  <si>
    <t>BSY5397A VB013  2CA 14/5 kt</t>
  </si>
  <si>
    <t>B2299 vb041  2ca 13/5 kt</t>
  </si>
  <si>
    <t>SA239066CTC-SD vb013  2ca  30/5 kt</t>
  </si>
  <si>
    <t>B0285 VB026  1T  14/5  0*8</t>
  </si>
  <si>
    <t>B4F023B   JUVA001M   1CA   14/5</t>
  </si>
  <si>
    <t>B1124(C60/ETB40) va027 10T  16/5</t>
  </si>
  <si>
    <t>BPL(20)1068  VA020  1CA  14/5</t>
  </si>
  <si>
    <t>SGR92083B(BPM) VB010  1CA 16/5</t>
  </si>
  <si>
    <r>
      <t xml:space="preserve">SA170299A(BM100M-AA-U) VA018 1T 17/5  5*17  </t>
    </r>
    <r>
      <rPr>
        <sz val="13"/>
        <color rgb="FFFF0000"/>
        <rFont val="Times New Roman"/>
        <family val="1"/>
      </rPr>
      <t>NGỪNG</t>
    </r>
  </si>
  <si>
    <t>B3F009B   JUVA001M   1CA   14/5</t>
  </si>
  <si>
    <t>B0210(OCN) VB030    1.5T  15/5 10*16</t>
  </si>
  <si>
    <t>B2385 VB025   6T  15/5  28*31</t>
  </si>
  <si>
    <t>BM0214 VB004 chạy lại XY 4T 14/5  22*23</t>
  </si>
  <si>
    <t>BM(100)0216 VB002  2CA 14/5  0*4</t>
  </si>
  <si>
    <t>BPM2285 VB002  1T  15/5  7*16</t>
  </si>
  <si>
    <t>B04B  VA112  2CA  14/5  0*4</t>
  </si>
  <si>
    <t>B8F048B   JUVA001M   1CA   14/5 0*2</t>
  </si>
  <si>
    <t>SA200871AU va077  1.5T  15/5  2*7</t>
  </si>
  <si>
    <t>BM12B va058  7T  18/5</t>
  </si>
  <si>
    <t>BTR2299 VB001  1CA  15/5</t>
  </si>
  <si>
    <t>BPM(20)2214  VB019  2CA 14/5 0*3</t>
  </si>
  <si>
    <t>B1124  VA016  25/5</t>
  </si>
  <si>
    <t xml:space="preserve">B8F053B   JUVA001M   1CA   15/5 </t>
  </si>
  <si>
    <t>B11B va098  7T  12/6+nkho  cơ</t>
  </si>
  <si>
    <t>B12B VA148  kt</t>
  </si>
  <si>
    <t>B1124(C60/ETB40) va027 10T  20/5 kt</t>
  </si>
  <si>
    <t>BR1124 VA001  1CA  15/5</t>
  </si>
  <si>
    <t>BM(70M)1068(BPM-AA) va009  1ca  16/5</t>
  </si>
  <si>
    <r>
      <t xml:space="preserve">SA170299A(BM100M-AA-U) </t>
    </r>
    <r>
      <rPr>
        <sz val="13"/>
        <color rgb="FFFF0000"/>
        <rFont val="Times New Roman"/>
        <family val="1"/>
      </rPr>
      <t>VA018-A</t>
    </r>
    <r>
      <rPr>
        <sz val="13"/>
        <color theme="1"/>
        <rFont val="Times New Roman"/>
        <family val="1"/>
      </rPr>
      <t xml:space="preserve"> 1T  25/5</t>
    </r>
  </si>
  <si>
    <t>B7F010B   JUVA001M   1CA   15/5  kt</t>
  </si>
  <si>
    <t>B8F054B   JUVA001M   1CA   15/5  kt</t>
  </si>
  <si>
    <t>SA170299A(AA-U) VA043  1T  16/5  2*7 kt</t>
  </si>
  <si>
    <t>BM(100)1047 VA004  2CA  17/5 kt</t>
  </si>
  <si>
    <t>BPM2797  VB001  1CA 15/5  0*3</t>
  </si>
  <si>
    <t>BC03  VB073  1CA 15/5 kt</t>
  </si>
  <si>
    <t>B0283(OCR) VB001  1CA 16/5 kt</t>
  </si>
  <si>
    <t>B2796(GC100)  VB003  2CA 14/5  1*3 kt</t>
  </si>
  <si>
    <t>BM0212 vb007  1cac  16/5 kt</t>
  </si>
  <si>
    <t>BCVC0279 VB008  1CA  16/5</t>
  </si>
  <si>
    <t>BR2789 VB001  1CA 17/5</t>
  </si>
  <si>
    <t>SGR52777A(TC) VB001  1CA 16/5</t>
  </si>
  <si>
    <t>BCVC0208 VB051  12T  19/5</t>
  </si>
  <si>
    <t>B0281  VB077  1CA  16/5</t>
  </si>
  <si>
    <t>B2621  VB085  2CA  17/5</t>
  </si>
  <si>
    <t>B0283  VB045 2CA 17/5</t>
  </si>
  <si>
    <t>B04B(AA) VA109   40T  18/5</t>
  </si>
  <si>
    <t>B04B(AA) VA109   40T  20/5</t>
  </si>
  <si>
    <t>B1047  VA030  1CA  17/5</t>
  </si>
  <si>
    <t>B8F046B   JUVA001M   1ca 17/5</t>
  </si>
  <si>
    <t>B8F047B   JUVA001M   1ca 17/5</t>
  </si>
  <si>
    <t>BCVC0212 vb005  1ca  17/5  kt</t>
  </si>
  <si>
    <t>BCR(30)2214(AA) VB029 5T  19/5 22*31</t>
  </si>
  <si>
    <t>SA219061C  VB035  1CA 16/5 kt</t>
  </si>
  <si>
    <t>BR0214 vb003  1ca  16/5  0*3</t>
  </si>
  <si>
    <t>B04B(AA)  VA110  2CA  CHẠY LẠI 18/5</t>
  </si>
  <si>
    <t>B1069 VA210  1.5T 17/5   6*10</t>
  </si>
  <si>
    <t>BA1ND07B(C60/ETB40) VA004  5T  18/5 5*5+XY 21*31</t>
  </si>
  <si>
    <t>BCVC(40ETB)104 va059  2ca  17/5  3*7</t>
  </si>
  <si>
    <t>SGR83077A(BM100M-U) VA002  1T  17/5  4*9</t>
  </si>
  <si>
    <t>SO229159ABM VB021  1CA  18/5</t>
  </si>
  <si>
    <t>BM2781 vb008  2ca  18/5</t>
  </si>
  <si>
    <t>B06B VA066  2.5T 19/5   5*16</t>
  </si>
  <si>
    <t>B1052 va044  1T  11/6</t>
  </si>
  <si>
    <t>B06B va066  3T   17/5</t>
  </si>
  <si>
    <t xml:space="preserve">B3F010B  JUVA001M   1CA   17/5 </t>
  </si>
  <si>
    <t xml:space="preserve">B3F011B  JUVA001M   1CA   17/5 </t>
  </si>
  <si>
    <t xml:space="preserve">B3F012B  JUVA001M   1CA   17/5 </t>
  </si>
  <si>
    <t xml:space="preserve">B2F041B  JUVA001M   1CA   17/5 </t>
  </si>
  <si>
    <t xml:space="preserve">B7F009B  JUVA001M   1CA   17/5 </t>
  </si>
  <si>
    <t>B2385 VB026  1CA 18/5</t>
  </si>
  <si>
    <t>BPM2212   VB002  1CA  KT</t>
  </si>
  <si>
    <t>SGR4015D(BPM) VB006 2CA  19/5  2*3</t>
  </si>
  <si>
    <t>B0210(OCR)  VB015  1CA  18/5  KT</t>
  </si>
  <si>
    <t>SO00195C vb008  1T  18/5</t>
  </si>
  <si>
    <t>SGR92083B(CVC-AA) VB041  7T 20/5 KT</t>
  </si>
  <si>
    <t>B0212(C60/ETB40) vb002  1ca  28/5 KT</t>
  </si>
  <si>
    <t xml:space="preserve">B3F005B  JUVA001M   1CA   17/5 </t>
  </si>
  <si>
    <t xml:space="preserve">B4F021B  JUVA001M   1CA   17/5 </t>
  </si>
  <si>
    <t xml:space="preserve">B3F006B  JUVA001M   1CA   17/5 </t>
  </si>
  <si>
    <t xml:space="preserve">B3F007B  JUVA001M   1CA   17/5 </t>
  </si>
  <si>
    <t>B07B VA128 19/5</t>
  </si>
  <si>
    <t>SA192462AU VA017   1CA 20/5</t>
  </si>
  <si>
    <t>SA248530ABM100-U VA001 chạy lại 19/5</t>
  </si>
  <si>
    <t>BM12B VA059  3.5T  22/5  11*23</t>
  </si>
  <si>
    <t>B1123  VA012 2T 20/5  11*16</t>
  </si>
  <si>
    <t>B3F008B  JUVA001M   1CA   17/5  KT</t>
  </si>
  <si>
    <t>SA248530ABM100M-U VA001  1CA  20/5 KT</t>
  </si>
  <si>
    <t>B04B(AA) VA109   40T  19/5  KT</t>
  </si>
  <si>
    <t>B06A(FH18)(M50/C45/OC5-AA) VA012  1CA  LUCKY 18/5 KT</t>
  </si>
  <si>
    <t>BM0284 VA020  1CA  18/5</t>
  </si>
  <si>
    <t>B2347 VB085  17T  23/5</t>
  </si>
  <si>
    <t>BC02-OE VB108  11T 25/5 KT</t>
  </si>
  <si>
    <t>BNC01 VB044  9T  29/5</t>
  </si>
  <si>
    <t>B2347 VB085  17T  22/5</t>
  </si>
  <si>
    <t>B2347 VB085 23/5</t>
  </si>
  <si>
    <t>BC03 VB074  2CA  21/5  3*8</t>
  </si>
  <si>
    <t>SGR41667A(CVC20-XY) VB045 SỢI X 1T 21/5 0*4</t>
  </si>
  <si>
    <t>B0210  VB132US  4T 21/5  14*23 kt</t>
  </si>
  <si>
    <t>BR2214 vb001  1ca  20/5 kt</t>
  </si>
  <si>
    <t>BN08(TC) VB015  1T  22/5 4*8 kt</t>
  </si>
  <si>
    <t>BPL(20)1068 VA021  2CA 20/5  kt</t>
  </si>
  <si>
    <t>B04B(OCN) VA003   1T  21/5   2*7</t>
  </si>
  <si>
    <t>B1047P(EA30-AA) VA004  2CA  19/5 3*4 kt</t>
  </si>
  <si>
    <t>BM04B(AA) VA015  1CA  21/5</t>
  </si>
  <si>
    <t>BOC(90)0208  VB001  2CA  24/5</t>
  </si>
  <si>
    <t>BCVC0294 VB001  25/5 KT</t>
  </si>
  <si>
    <t>BUM009AERC30-AA VA012 24T 22/5</t>
  </si>
  <si>
    <t>BC02-OE VB110  6T 27/5</t>
  </si>
  <si>
    <t>BM0212(AA)   vb009  1ca 21/5  kt</t>
  </si>
  <si>
    <t>SGR92083B VB152  1.5T  22/5 4*8</t>
  </si>
  <si>
    <t>SO41269A(BPM50-U) VA012  1T  23/5   2*7</t>
  </si>
  <si>
    <t>B0284  VA025 2CA  22/5  1*4</t>
  </si>
  <si>
    <t>BCVC04B VA082  1CA  22/5  kt</t>
  </si>
  <si>
    <t>BS0278 VB077  1.5T  29/5</t>
  </si>
  <si>
    <t>B2621 VB086  2CA  30/5</t>
  </si>
  <si>
    <t>BPL(20)1068  VA022  1CA 21/5</t>
  </si>
  <si>
    <t>B4F023B  JUVA001M   1CA  22/5</t>
  </si>
  <si>
    <t>B4F024B  JUVA001M   1CA  22/5</t>
  </si>
  <si>
    <t>B8F042B  JUVA001M   1CA  22/5</t>
  </si>
  <si>
    <t>B8F043B  JUVA001M   1CA  22/5</t>
  </si>
  <si>
    <t>B8F044B  JUVA001M   1CA  22/5</t>
  </si>
  <si>
    <t>B8F045B  JUVA001M   1CA  22/5</t>
  </si>
  <si>
    <t>B07B VA128  31/5</t>
  </si>
  <si>
    <t>B0209 vb039  2ca  25/5</t>
  </si>
  <si>
    <t>B2F042B  JUVA001M   1CA  23/5</t>
  </si>
  <si>
    <t>B2F043B  JUVA001M   1CA  23/5</t>
  </si>
  <si>
    <t>B2F044B  JUVA001M   1CA  23/5</t>
  </si>
  <si>
    <t>B2F046B  JUVA001M   1CA  23/5</t>
  </si>
  <si>
    <t>B2F047B  JUVA001M   1CA  23/5</t>
  </si>
  <si>
    <t>BCVC2282 VB002  2CA  22/5  4*8</t>
  </si>
  <si>
    <t>B2282  VB038  1T 23/5  3*8</t>
  </si>
  <si>
    <t>B0209 vb039  2ca 22/5  0*3</t>
  </si>
  <si>
    <t>BCVC0294 VB001  22/5 kt</t>
  </si>
  <si>
    <t>B0210  VB133  1CA  24/5 kt</t>
  </si>
  <si>
    <t>SV239206AC57/M20/ETB20AG3G-U VA003  2CA  25/5 kt</t>
  </si>
  <si>
    <t>B2F048B  JUVA001M   1CA  23/5 0*2</t>
  </si>
  <si>
    <t>B1019 va125  2.5T  23/5  10*14</t>
  </si>
  <si>
    <t>BM(100M)0293  VB001  1CA  23/5</t>
  </si>
  <si>
    <t>B1004  VA202 7T 25/5</t>
  </si>
  <si>
    <t>B2F045B  JUVA001M   1CA  26/5</t>
  </si>
  <si>
    <t>B7F011B  JUVA001M   1CA  26/5</t>
  </si>
  <si>
    <r>
      <t xml:space="preserve">BA1ND07B(C60/ETB40) va005 SỢI X - XY   11T  10/6 5*7+1+ </t>
    </r>
    <r>
      <rPr>
        <sz val="18"/>
        <color theme="1"/>
        <rFont val="Times New Roman"/>
        <family val="1"/>
      </rPr>
      <t>xy</t>
    </r>
  </si>
  <si>
    <r>
      <t xml:space="preserve">BA1ND07B(C60/ETB40) va005  </t>
    </r>
    <r>
      <rPr>
        <sz val="13"/>
        <color rgb="FFFF0000"/>
        <rFont val="Times New Roman"/>
        <family val="1"/>
      </rPr>
      <t>XY</t>
    </r>
    <r>
      <rPr>
        <sz val="13"/>
        <color theme="1"/>
        <rFont val="Times New Roman"/>
        <family val="1"/>
      </rPr>
      <t xml:space="preserve">  9T 10/6</t>
    </r>
  </si>
  <si>
    <t>SO206427IBPM-DN vb007USL  1CA  27/5</t>
  </si>
  <si>
    <t>SGR92083B(CVC) VB042 1T  26/5  1*8</t>
  </si>
  <si>
    <t>SGR41667A(CVC20-XY) VB045 SỢI X bù  23/5 0*1</t>
  </si>
  <si>
    <t>BC04 VB068  2CA 23/5 kt</t>
  </si>
  <si>
    <t>BCVC0212 vb006  1ca  24/5 kt</t>
  </si>
  <si>
    <t>BA37L(U) va171 1T  25/5 5*7</t>
  </si>
  <si>
    <t>B06A(FH18)(M50/C45/OC5-AA) VA013  2CA 23/5  1*4</t>
  </si>
  <si>
    <r>
      <rPr>
        <sz val="13"/>
        <color rgb="FFFF0000"/>
        <rFont val="Times New Roman"/>
        <family val="1"/>
      </rPr>
      <t xml:space="preserve">BSB4041AERT50/C25/R25-EY-U </t>
    </r>
    <r>
      <rPr>
        <sz val="13"/>
        <color theme="1"/>
        <rFont val="Times New Roman"/>
        <family val="1"/>
      </rPr>
      <t xml:space="preserve"> VA007  </t>
    </r>
    <r>
      <rPr>
        <sz val="13"/>
        <color rgb="FFFF0000"/>
        <rFont val="Times New Roman"/>
        <family val="1"/>
      </rPr>
      <t>SỢI X</t>
    </r>
    <r>
      <rPr>
        <sz val="13"/>
        <color theme="1"/>
        <rFont val="Times New Roman"/>
        <family val="1"/>
      </rPr>
      <t xml:space="preserve"> 2CA  23/5</t>
    </r>
  </si>
  <si>
    <t>BPM11B  VA004  1CA  23/5  0*4</t>
  </si>
  <si>
    <t>BRAB037 VA001 sợi B- sợi A  1CA   23/5</t>
  </si>
  <si>
    <t>BPM1069 VA094  1CA  26/5</t>
  </si>
  <si>
    <t>BC02  VB107 24/5</t>
  </si>
  <si>
    <t>B1124(C60/ETB40) va027 10T  16/5 kt</t>
  </si>
  <si>
    <t>B2652  VA053  8T 20/5 kt</t>
  </si>
  <si>
    <t>B04B(AA) VA109 110T  22/5 kt</t>
  </si>
  <si>
    <t>B0210  VB134 1CA 24/5 kt</t>
  </si>
  <si>
    <t>SO259056A  VB002  1CA  24/5  1*3 kt</t>
  </si>
  <si>
    <t>B1069  VA211  1CA  27/5  kt</t>
  </si>
  <si>
    <t>SO27089A vb012  bù 100B  1ca  25/5</t>
  </si>
  <si>
    <t>B2621 VB086  2CA  26/5</t>
  </si>
  <si>
    <t>B2652  VA056  1CA  26/5</t>
  </si>
  <si>
    <t>SGR52777A(OCN) VB002  1T  24/5  5*8</t>
  </si>
  <si>
    <t>BC02  VB107 25/5</t>
  </si>
  <si>
    <t>B1009  VA003  1CA  25/5</t>
  </si>
  <si>
    <t>BA37L(U)  VA172  2CA  26/5</t>
  </si>
  <si>
    <t>B1004(OCN)  VA002  1CA  26/5</t>
  </si>
  <si>
    <t>SGR92083B VB153 1CA  25/5</t>
  </si>
  <si>
    <t>BC03  VB075  1CA   27/5</t>
  </si>
  <si>
    <t xml:space="preserve">B8F041B  JUVA001M   1CA  25/5 </t>
  </si>
  <si>
    <t>B1067 VA139 8T 24/5</t>
  </si>
  <si>
    <t>B2652  VA055 1T 25/5  1*8 KT</t>
  </si>
  <si>
    <t>B1067(OCN) VA016 1.5T  28/5 kt</t>
  </si>
  <si>
    <t>B1123 VA013  4T 26/5 14*23 kt</t>
  </si>
  <si>
    <t>B1069 VA212  3T 28/5   7*16</t>
  </si>
  <si>
    <t>B1052 va044  1T  26/5  7*8</t>
  </si>
  <si>
    <t>BSB4041AERT50/C25/R25-EY-U  VA007  xy  2CA  25/5</t>
  </si>
  <si>
    <t>B12B(OCN80/ERT20)  VA001  1CA  25/5</t>
  </si>
  <si>
    <t>B1004(C60/ETB40)  VA018  1CA  26/5 kt</t>
  </si>
  <si>
    <t xml:space="preserve">BM(M)07B  VA001  1CA  27/5 kt </t>
  </si>
  <si>
    <t>BM(100M)1019 VA011  2.5T   28/5    12*17</t>
  </si>
  <si>
    <t>BC02  VB107 26/5 KT</t>
  </si>
  <si>
    <t>BSA3871ACR30-AA  VB001   4T 26/5  14*23 KT</t>
  </si>
  <si>
    <t>BPM2212  VB003US  1CA 28/5  2*3 KT</t>
  </si>
  <si>
    <t>B0281  3JVB078UA  1T  26/5 KT</t>
  </si>
  <si>
    <t>B03(OCN) VB003  2CA  26/5 KT</t>
  </si>
  <si>
    <t>B0285 VB027  1T  10/6 KT</t>
  </si>
  <si>
    <t>SGR41667A(CVC20-XY) VB045 xy 4T 26/5 19*23 KT</t>
  </si>
  <si>
    <t>BS0278 VB077  1.5T  25/5  6*8+3 KT</t>
  </si>
  <si>
    <t>SO202477E   VB024  1CA 25/5 KT</t>
  </si>
  <si>
    <t>B2798  VB017  1T 27/5 KT</t>
  </si>
  <si>
    <t>BCVC0294 VB001  26/5  KT</t>
  </si>
  <si>
    <t>BTE(LF)2879(BOC) VB003  2CA  25/5  2*9  KT</t>
  </si>
  <si>
    <t>B0214 VB049  1CA  27/5</t>
  </si>
  <si>
    <t>B0213  VB029  2CA  28/5</t>
  </si>
  <si>
    <t>SO259056BBPM VB001  1CA 28/5</t>
  </si>
  <si>
    <t>SA215376B  VB025  1CA  27/5</t>
  </si>
  <si>
    <t>BM0214 VB005us   9T 29/5</t>
  </si>
  <si>
    <t>B4F021B  JUVA001M  chạy lại 1ca  27/5</t>
  </si>
  <si>
    <t>B4F022B  JUVA001M  chạy lại  1ca  27/5</t>
  </si>
  <si>
    <t>B4F023B  JUVA001M chạy lại    1ca  27/5</t>
  </si>
  <si>
    <t>SO259245A-RM  VB001  1CA 29/5</t>
  </si>
  <si>
    <t>BCVC(40ETB)104 VA060  12T  30/5</t>
  </si>
  <si>
    <t>BNC01 VB044  9T  26/5 kt</t>
  </si>
  <si>
    <t>BOC2621  VB009  2CA  27/5  1*3</t>
  </si>
  <si>
    <t>B2829  VB006  2CA  28/5 kt</t>
  </si>
  <si>
    <t>BNC04C(CVC) VB026  1CA  27/5 kt</t>
  </si>
  <si>
    <t>BCVC3404  VB002  1CA  29/5 kt</t>
  </si>
  <si>
    <t>B4F024B  JUVA001M  chạy lại   1ca  27/5  kt</t>
  </si>
  <si>
    <t>B1123  VA014  2CA  29/5  1*4</t>
  </si>
  <si>
    <t>BM(50)04B VA001  2CA 28/5  0*4</t>
  </si>
  <si>
    <t>B1069(OCR)  VA007  2CA  29/5</t>
  </si>
  <si>
    <t>B8847 va023  2ca  30/5</t>
  </si>
  <si>
    <t>B1069  va213  7T  5/6</t>
  </si>
  <si>
    <t>SGR83077A(BM100M-U)  VA003  2CA  27/5 0*4</t>
  </si>
  <si>
    <t>BC04(AA)  VB069 1CA 30/5</t>
  </si>
  <si>
    <t>B07B(C60/ETB40) 3JUVA009 38T  21/6,1/7</t>
  </si>
  <si>
    <t>B12B  VA149</t>
  </si>
  <si>
    <t>B1124 va016 31/5 KT</t>
  </si>
  <si>
    <t>SA155427K vb011  2ca  29/5  2*3</t>
  </si>
  <si>
    <t>B2881(AA) VB008  2CA  28/5 6*8</t>
  </si>
  <si>
    <t>SGR92083B VB154 1T 29/5  7*8</t>
  </si>
  <si>
    <t>SO259200ABPM VB001  1CA  30/5 kt</t>
  </si>
  <si>
    <t>B1124  VA016  28/5 kt</t>
  </si>
  <si>
    <t>BAB037  VA028 SỢI B- SỢI A   1T  30/5  6*6+1*6</t>
  </si>
  <si>
    <r>
      <t xml:space="preserve">BA1ND07B(C60/ETB40) va005  </t>
    </r>
    <r>
      <rPr>
        <sz val="13"/>
        <color rgb="FFFF0000"/>
        <rFont val="Times New Roman"/>
        <family val="1"/>
      </rPr>
      <t>XY</t>
    </r>
    <r>
      <rPr>
        <sz val="13"/>
        <color theme="1"/>
        <rFont val="Times New Roman"/>
        <family val="1"/>
      </rPr>
      <t xml:space="preserve">  9T 7/6</t>
    </r>
  </si>
  <si>
    <t>SA170299A(BM100B-AA-U) va001  2ca 29/5  0*4</t>
  </si>
  <si>
    <t>B09B(ERT65/R35-AA) VA003  2CA 31/5</t>
  </si>
  <si>
    <t>BM1004(AA)  VA003  1CA  1/6</t>
  </si>
  <si>
    <t>BM1068(AA)  va001  1ca  10/6</t>
  </si>
  <si>
    <t>B1067 va140  3t  24/6</t>
  </si>
  <si>
    <t>B8847 va023  2ca  28/5   0*4 kt</t>
  </si>
  <si>
    <t>B12B(OCN)  VB004   1.5T   29/5  3*7 kt</t>
  </si>
  <si>
    <t>BA37L(U)  va170  8T  3/6 kt</t>
  </si>
  <si>
    <t>BM12B VA060US  7T 7/6</t>
  </si>
  <si>
    <t>B0284(OCN) VA017  2CA  31/5 kt</t>
  </si>
  <si>
    <t>B1069  va213  7T  8/6</t>
  </si>
  <si>
    <t>SA170299A(BM100M-AA-U)  VA018   2CA 30/5  0*4</t>
  </si>
  <si>
    <t>BCVC0212  VB007  1CA  29/5 kt</t>
  </si>
  <si>
    <t>SO259354ABD vb001  1ca  29/5 kt</t>
  </si>
  <si>
    <t>B2366 VB072  2T  30/5 15*16</t>
  </si>
  <si>
    <t>BOC2367 vb001  8 búp 1T   1/6  0*8</t>
  </si>
  <si>
    <t>B2781(M75M/ERT25-AA) VB001  1CA  29/5 3*4</t>
  </si>
  <si>
    <t>B06G(FH18)(BOC20-AA) VB018  31/5</t>
  </si>
  <si>
    <t>B06G(FH18)(BOC20-AA) VB018  1/6</t>
  </si>
  <si>
    <t>SO206427I VB035  2T  30/5 13*16</t>
  </si>
  <si>
    <t>BOC2367 vb001  8 búp 1T   30/5  3*8</t>
  </si>
  <si>
    <t>SO41269A(U)  VA049  1CA 30/5</t>
  </si>
  <si>
    <t>B11B va098  7T  1/6</t>
  </si>
  <si>
    <t>B2879(M50/C45/OC5-AA) VB001  2CA  30/5 kt</t>
  </si>
  <si>
    <t>BC02(EA25)  VB001  2CA 30/5   0*3 kt</t>
  </si>
  <si>
    <t>B2886(OCR) VB004  1T  2/6 kt</t>
  </si>
  <si>
    <t>B2881(AA) VB008  2CA 31/5 kt</t>
  </si>
  <si>
    <t>BS0278  VB077  SỢI B   1T  28/5 5*8 +3 kt</t>
  </si>
  <si>
    <t>B0208  VB071  2T  31/5 13*16</t>
  </si>
  <si>
    <t>SO259200A  VB001  1CA  31/5 kt</t>
  </si>
  <si>
    <t>B2621(C60/ETB40)  VB007  1CA  30/5 kt</t>
  </si>
  <si>
    <t>B2659 VA030  1T  30/5   3*8  kt</t>
  </si>
  <si>
    <t>SA259351BU  VA001  1CA  31/5 kt</t>
  </si>
  <si>
    <t>BCVC09B VA025  5T  4/6  5*31</t>
  </si>
  <si>
    <t>BM(70M)1068(BPM-AA) VA010  2CA  30/5  0*4</t>
  </si>
  <si>
    <t>BCVC04B  VA083  2CA  31/5</t>
  </si>
  <si>
    <t>B0208(C60/ETB40) VB025  12T  1/6</t>
  </si>
  <si>
    <t>SO259289HBTE40LF  VB001  1CA  31/5</t>
  </si>
  <si>
    <t>BPM2212  VB004  2CA  1/6</t>
  </si>
  <si>
    <t>SO259233A  VB002  1CA  1/6</t>
  </si>
  <si>
    <t>B2829  VB007  1CA  1/6</t>
  </si>
  <si>
    <t>B0202(OCN)  VB004  2CA 2/6</t>
  </si>
  <si>
    <t>BPM(50)1115  VA001  1CA  31/5</t>
  </si>
  <si>
    <t>BUM009AERC30-AA VA014  2CA 1/6</t>
  </si>
  <si>
    <t>BAB073  VB030 SỢI B- SỢI A 1CA 3/6</t>
  </si>
  <si>
    <t>B1068(C60/ETB40)  VA001  1CA  1/6</t>
  </si>
  <si>
    <t>BM(70M)1115(BPM-AA)  va002  1ca  2/6</t>
  </si>
  <si>
    <t>BTC04B VA009  2CA  3/6</t>
  </si>
  <si>
    <t>SA250607AXYS-BX vb001 sợi X- XY 1CA 1/6</t>
  </si>
  <si>
    <t>BCR0201 VB002  2CA  1/6</t>
  </si>
  <si>
    <t>BTC0285  VB027  2CA  1/6 KT</t>
  </si>
  <si>
    <t>B0279(C60/ETB40)  vb012  1ca  1/6</t>
  </si>
  <si>
    <t>BC03 VB076  1.5T 3/6  11*16</t>
  </si>
  <si>
    <t>B2746 VB029UA  1T 3/6  2*8</t>
  </si>
  <si>
    <t>B0210 VB136  1CA 1/6</t>
  </si>
  <si>
    <t>B2561  VB022  1CA 1/6</t>
  </si>
  <si>
    <t>B2656  VB060  1CA  1/6</t>
  </si>
  <si>
    <t>B2299 VB042 1CA 1/6</t>
  </si>
  <si>
    <t>BM0212  VB010  1CA  1/6</t>
  </si>
  <si>
    <t>BM(50)2347  VB002  1CA 1/6  KT</t>
  </si>
  <si>
    <t>B0208(C60/ETB40) VB025  12T  2/6 KT</t>
  </si>
  <si>
    <t>SA240274ACVC VB008  5T  3/6  27*31</t>
  </si>
  <si>
    <t>B2782(C60/ETB40) VB006  7T  3/6 KT</t>
  </si>
  <si>
    <t>BOC2347 VB001  2CA  19/6 0*3</t>
  </si>
  <si>
    <t>B2879(T65/TE35-AA) VB001  1T 30/5  8*9 KT</t>
  </si>
  <si>
    <t>B1069  VA215  8T  15/6</t>
  </si>
  <si>
    <t>B1005(OCR)  VA001  1CA  2/6</t>
  </si>
  <si>
    <t>B0284  VA026  2CA  1/6 KT</t>
  </si>
  <si>
    <t>B07B VA128 5/6 KT</t>
  </si>
  <si>
    <t>B0278 vb078  6T  4/6</t>
  </si>
  <si>
    <t>B0214  VB050  1CA  5/6</t>
  </si>
  <si>
    <t>BNC04C(CVC) VB027  13T  20/6</t>
  </si>
  <si>
    <t>B04B VA114</t>
  </si>
  <si>
    <t>B1004   VA202 5T 24/5 KT</t>
  </si>
  <si>
    <t>B1067 VA139 8T 25/5 KT</t>
  </si>
  <si>
    <t>B1119  VA005  2CA  23/6</t>
  </si>
  <si>
    <t>B07B VA128 3/6 kt</t>
  </si>
  <si>
    <t>B09B(OCN) va002  1.5T  3/6 15*16</t>
  </si>
  <si>
    <t>B1069(OCN60/ETB40-AA)  VA020  2CA  3/6 kt</t>
  </si>
  <si>
    <t>B0221  vb020  3T  3/6  19*23 kt</t>
  </si>
  <si>
    <t>BTCC02  VB044  1.5T  5/6 8*16</t>
  </si>
  <si>
    <t>SO196304F  VB011 2CA  4/6 0*3</t>
  </si>
  <si>
    <t>B2879(T65/TE35-AA) VB001 BÙ 1CA 3/6  3*4</t>
  </si>
  <si>
    <t>B12B VA148   6/6</t>
  </si>
  <si>
    <t>B0201  VB020  1CA  6/6</t>
  </si>
  <si>
    <t>B1124P(ERT65/EA30/C5-AA) va001  1ca  4/6</t>
  </si>
  <si>
    <t>BOC(90)0208  VB002  1CA  4/6</t>
  </si>
  <si>
    <t>BTC12B  VA057  2CA  2/6 2*4</t>
  </si>
  <si>
    <t>B0208  VB072  1CA 7/6 kt</t>
  </si>
  <si>
    <t>BTC0201 VB026  3T 6/6 12*23 kt</t>
  </si>
  <si>
    <t xml:space="preserve"> SGR92083B  vb155  4.5T  5/6   16*23  KT</t>
  </si>
  <si>
    <t>BC03(OCN)  VB007  3T  5/6 15*16</t>
  </si>
  <si>
    <t>B2886(OCR)  VB005  2CA  5/6 0*3</t>
  </si>
  <si>
    <t>BTE(LF)0208 VB004  2CA  4/6 0*8 KT</t>
  </si>
  <si>
    <t>BPM(50)2214  VB010   1T  5/6  7*8</t>
  </si>
  <si>
    <t>B8224 VA033 2CA 6/6  KT</t>
  </si>
  <si>
    <t>B0284(OCN)  va018 1.5T  5/6 7*10</t>
  </si>
  <si>
    <t>B1069  va214US 2T  4/6 21*23</t>
  </si>
  <si>
    <t>B03(C60/ETB40) VB004  1CA  5/6</t>
  </si>
  <si>
    <t>SO259348B  VB001  1CA 6/6</t>
  </si>
  <si>
    <t>B1124  va017  6.5T BÙ,16/6,28/6</t>
  </si>
  <si>
    <t>B1004  VA203  10T  21/6,nkho</t>
  </si>
  <si>
    <t>B1069 va216 3T  17/6,NKHO</t>
  </si>
  <si>
    <t>SA170299A(U) VA044 1.5T  24/6</t>
  </si>
  <si>
    <t>SA239212AAG3G  VA005  3T  3/6 15*16 KT</t>
  </si>
  <si>
    <t>B0281 VB080  1T  22/6</t>
  </si>
  <si>
    <t>8H 5/6 THIẾT BI ĐẠI TU 11/6</t>
  </si>
  <si>
    <t>BTE(LF)0208 VB004 sợi B 2ca 6/6</t>
  </si>
  <si>
    <t>SGR92083B(BPM20) VB030  1CA 7/6 kt</t>
  </si>
  <si>
    <r>
      <t xml:space="preserve">B06G(FH18)(BOC20-AA)  VB019  17T  21/6 </t>
    </r>
    <r>
      <rPr>
        <sz val="15"/>
        <color rgb="FFFF0000"/>
        <rFont val="Times New Roman"/>
        <family val="1"/>
      </rPr>
      <t>DỜI QUA 12# kt</t>
    </r>
  </si>
  <si>
    <t>BM2881 VB002  2CA  5/6 kt</t>
  </si>
  <si>
    <t>BM(100M)0208(AA)  VB008  1T  6/6  1*9 kt</t>
  </si>
  <si>
    <t>B0423 VA033  1CA 5/6 kt</t>
  </si>
  <si>
    <t>BCVC(40ET)11B  VA008  1.5T   7/6  8*11</t>
  </si>
  <si>
    <t>B14B(OCR)  VA016 1.5T  6/6 5*10</t>
  </si>
  <si>
    <t>B0210(OCN) JVB031  1.5T  6/6  11*16</t>
  </si>
  <si>
    <t>B0281  VB079  2CA 7/6</t>
  </si>
  <si>
    <t>BPL(20)1068 va023  1ca 7/6</t>
  </si>
  <si>
    <t>B12B VA148   5/6</t>
  </si>
  <si>
    <t>BCVC11B  VA154  2CA  22/6</t>
  </si>
  <si>
    <t>B0208 vb073  1.5T  25/6</t>
  </si>
  <si>
    <t>B0209  VB040  1.5T  24/6</t>
  </si>
  <si>
    <t>BMC03(AA) VB013  1CA 14/6</t>
  </si>
  <si>
    <t>BNC01(OCN) vb006  1T  5/6  7*8</t>
  </si>
  <si>
    <t>B06A(BOC10) TJUVA100UBY 32T  11/6</t>
  </si>
  <si>
    <t>B07B(C60/ETB40) 3JUVA009 38T  22/6</t>
  </si>
  <si>
    <t>B12B VA149   23/6</t>
  </si>
  <si>
    <t>BNC04C(CVC) VB029  6T  16/6</t>
  </si>
  <si>
    <t>SO206427IBPM-DN VB008  1T  6/6  3*8 kt</t>
  </si>
  <si>
    <t>BSY5514BBPM20  VB008  2T  7/6  13*16</t>
  </si>
  <si>
    <t>BOC(90)05  VB012  1CA 7/6 KT</t>
  </si>
  <si>
    <t>BC02(OCR)  VB010  1CA  8/6 KT</t>
  </si>
  <si>
    <t>BCVC2781  VB005  1.5T 7/6  3*9</t>
  </si>
  <si>
    <t>B1067 VA137 2T 16 búp  9/6  15*16</t>
  </si>
  <si>
    <t>B1067 va140  3T   7/6  11*16</t>
  </si>
  <si>
    <t>B6CXA(BOC10-U) VA005  17T  7/6 KT</t>
  </si>
  <si>
    <t>BTC12B  VA056  2CA  8/6 KT</t>
  </si>
  <si>
    <t>SGR92083B VB157  3T  7/6  17*23</t>
  </si>
  <si>
    <t>BPM8847  VA037  1CA  7/6</t>
  </si>
  <si>
    <t>BS0278 vb079  3T 28/6</t>
  </si>
  <si>
    <t>BNC04C VB048  16/6</t>
  </si>
  <si>
    <t>B0285  VB028 2CA 7/6</t>
  </si>
  <si>
    <t>BC02-OE  VB113 3T 9/6</t>
  </si>
  <si>
    <t>BC02-OE VB114 8T 12/6,16/6</t>
  </si>
  <si>
    <t>BC02-OE VB115  14T 18/6</t>
  </si>
  <si>
    <t>BC02  VB107 kt</t>
  </si>
  <si>
    <t>BNC04C VB047   10T 6/6 kt</t>
  </si>
  <si>
    <t>B2C019  VB001  1CA  8/6</t>
  </si>
  <si>
    <t>B2347 VB087  8T  7/6 kt</t>
  </si>
  <si>
    <t>B2491(OCN)  VB001 1CA  9/6 2*3</t>
  </si>
  <si>
    <t>SA209082BOCN  VB018  2CA 8/6 kt</t>
  </si>
  <si>
    <t>BCVC0214  VB010  1CA  8/6 kt</t>
  </si>
  <si>
    <t>B1123  VA015  5T  6/6  30*31 kt</t>
  </si>
  <si>
    <t>B1067 VA137 2T 19 búp  7/6 18*19</t>
  </si>
  <si>
    <t>B1119  VA005  2CA  8/6 0*4  kt</t>
  </si>
  <si>
    <t>BCVC(40ETB)104 VA061  5T  10/6 20*23+8</t>
  </si>
  <si>
    <t>B1025  VA019 1CA  7/6 kt</t>
  </si>
  <si>
    <t>BCVC(40ET)11B  VA009  2ca  8/6 kt</t>
  </si>
  <si>
    <t>B1069  VA215  8T  10/6</t>
  </si>
  <si>
    <t>BA37L(U)  VA174  1CA 8/6</t>
  </si>
  <si>
    <t>BN04C(ZR)  VB008  1CA 8/6</t>
  </si>
  <si>
    <t>BCVC2366  VB017  1CA  8/6</t>
  </si>
  <si>
    <t>B0278(C60/ETB40) VB007  14T  11/6</t>
  </si>
  <si>
    <t>SGR92083B  VB158  4T  9/6 20*31</t>
  </si>
  <si>
    <t>SGR92083B(C60/ERT40)  VB012  1T  8/6 0*8 kt</t>
  </si>
  <si>
    <t>B2214  VB125  1.5T 11/6 kt</t>
  </si>
  <si>
    <t>B2347  VB088  2CA 8/6 kt</t>
  </si>
  <si>
    <t>SA215376B  VB026  1CA  9/6 kt</t>
  </si>
  <si>
    <t>BNC04C(CVC) VB029  6T  11/6 22*31</t>
  </si>
  <si>
    <t>BCVC2347  VB042  1CA  9/6 kt</t>
  </si>
  <si>
    <t>SA155427K VB012  4T  13/6  2*2+BÀO THÁP  11/6</t>
  </si>
  <si>
    <t>B1004  VA203  10T 8/6</t>
  </si>
  <si>
    <t>B1124  va017  1CA  8/6 KT</t>
  </si>
  <si>
    <t>B1016(OCN)  VA002  1CA 8/6 KT</t>
  </si>
  <si>
    <t>B09B  VA107  1T 11/6 KT</t>
  </si>
  <si>
    <t>SO41269A(BPM20-U)  va026  1.5T   lucky  5*8</t>
  </si>
  <si>
    <t>SA259396AC60/ERT40-U VA001  1CA  8/6  KT</t>
  </si>
  <si>
    <t>B04B VA113  9/6  KT</t>
  </si>
  <si>
    <t>BPM03 VB002US 2CA  21/6</t>
  </si>
  <si>
    <t>B04B(AA) va115  12T 25/6</t>
  </si>
  <si>
    <t>BSY5514B  VB006  1CA  8/6  0*3 kt</t>
  </si>
  <si>
    <t>SGR92083B(BPM)  VB011  1ca  10/6 kt</t>
  </si>
  <si>
    <t>B0210(OCN)  VA032  1CA  10/6 kt</t>
  </si>
  <si>
    <t>SGR01899E VB023  1CA 10/6 kt</t>
  </si>
  <si>
    <t>SGR91885D  VB016  3T  9/6 22*23 kt</t>
  </si>
  <si>
    <r>
      <t xml:space="preserve">B0278(C60/ETB40) VB007  14T  11/6  </t>
    </r>
    <r>
      <rPr>
        <sz val="20"/>
        <color rgb="FFFF0000"/>
        <rFont val="Times New Roman"/>
        <family val="1"/>
      </rPr>
      <t>dời qua 17 kt</t>
    </r>
  </si>
  <si>
    <t>B0285(ETB65/OCN35)  VB001  2CA  11/6 kt</t>
  </si>
  <si>
    <t>BA37L(U) VA173  3T 12/6 22*23</t>
  </si>
  <si>
    <t>B1004  VA203 sợi B 1.5T 11/6 8*9.5</t>
  </si>
  <si>
    <t>BCVC11B  VA154  1.5T   14/6 5*10 kt</t>
  </si>
  <si>
    <t>BAB037  VA029 SỢI B- SỢI A 1CA 11/6  kt</t>
  </si>
  <si>
    <t>B1115 VA015  2CA 27/6</t>
  </si>
  <si>
    <t>BNC04C(OCN) VB002  2.5T  10/6 1*16 KT</t>
  </si>
  <si>
    <t>B1019  VA126  1ca  11/6</t>
  </si>
  <si>
    <t>BPL(20)1068  VA024  1CA 11/6</t>
  </si>
  <si>
    <t>3 máy thô 13 máy chải</t>
  </si>
  <si>
    <t>B1069(OCN60/ETB40-AA) va022  1ca  11/6 KT</t>
  </si>
  <si>
    <t>SA200871AU VA078  1CA 12/6  KT</t>
  </si>
  <si>
    <t>BUM051AER30-AA-U VA012   1T    13/6 3*7</t>
  </si>
  <si>
    <t>BSY5397A  VB014  2CA 12/6 kt</t>
  </si>
  <si>
    <t>BNC04C VB048 9T 22/6 chạy khoảng 33 búp 12/6 kt</t>
  </si>
  <si>
    <t>SGR92083B(BM) VB002 9 búp 1T  13/6  3*9</t>
  </si>
  <si>
    <t>B2878 VB007  2CA  15/6</t>
  </si>
  <si>
    <t>B06G(FH18)(BOC20-AA)  VB019  17T  13/6</t>
  </si>
  <si>
    <t>B2878(C50/RE50-AA) VB006 2CA  16/6</t>
  </si>
  <si>
    <t>SGR92083B(BM) VB002 8 búp 1T  13/6  0*8 kt</t>
  </si>
  <si>
    <t>B2366  VB073 2CA 13/6 0*8 kt</t>
  </si>
  <si>
    <t>SGR92083B(AA) VB161  2CA  12/6 1*3</t>
  </si>
  <si>
    <t>BCVC1067  VA023  1CA  12/6 kt</t>
  </si>
  <si>
    <t>B1069 va217US  2CA  12/6 kt</t>
  </si>
  <si>
    <t xml:space="preserve"> B06B(OCR) va001  2ca  12/6  0*4</t>
  </si>
  <si>
    <t>SA170299A(U) VA044 1.5T  12/6  13*16</t>
  </si>
  <si>
    <t>BSC03  VB078  2CA  12/6  1*3</t>
  </si>
  <si>
    <t>B2347  VB089  1CA  16/6</t>
  </si>
  <si>
    <t>BPM0216  VB004  12/6  1*4</t>
  </si>
  <si>
    <t>B1069 va216 7T 18/6</t>
  </si>
  <si>
    <t>BS07B VA129  10T  17/6</t>
  </si>
  <si>
    <t>B2881 VB010 3T 16/6 16*23</t>
  </si>
  <si>
    <t>B2656  VB061  2CA  14/6 kt</t>
  </si>
  <si>
    <t>SO206427I vb036  1T  14/6  7*8</t>
  </si>
  <si>
    <t>SO259231AC60/RE40 vb002  2ca  14/6  2*4</t>
  </si>
  <si>
    <t>B12B VA149  12/6 kt</t>
  </si>
  <si>
    <t>B0284(OCR)  VA005  1CA 13/6  kt</t>
  </si>
  <si>
    <t>BM(50M)1123(BPM) va001  1ca  13/6 kt</t>
  </si>
  <si>
    <t>SA259288JBTE40LF-U VA001 1CA  12/6  kt</t>
  </si>
  <si>
    <t>BC04  VB070  1CA 17/6</t>
  </si>
  <si>
    <t>BC02 VB112 24T  20/6</t>
  </si>
  <si>
    <t>đổi cự ly</t>
  </si>
  <si>
    <t>B1NP013(BM) VB001  1CA  16/6</t>
  </si>
  <si>
    <t>BTR(30)0210  VB003  1CA  18/6 chỉnh cự ly 14</t>
  </si>
  <si>
    <t>B0209(C60/ERT40) vb001  1ca  19/6</t>
  </si>
  <si>
    <t>B0281 VB080  1.5T  13/6  4*8</t>
  </si>
  <si>
    <t>B0210(C60/ETB40) VB002  2CA  14/6 kt</t>
  </si>
  <si>
    <t>B2621  VB087  1CA 14/6 kt</t>
  </si>
  <si>
    <t>B0208 vb073  1.5T  20/6 1*16</t>
  </si>
  <si>
    <t>SGR92083B(BPM20)  TJVB031UB  2T  16/6  19*23</t>
  </si>
  <si>
    <t>B0221 vb021  2ca  16/6 kt</t>
  </si>
  <si>
    <t>BPM2366  VB008  2CA 15/6 kt</t>
  </si>
  <si>
    <t>B06B  VA068  2CA 15/6 kt</t>
  </si>
  <si>
    <t>B1069(OCN) va058  2T  17/6 1*16</t>
  </si>
  <si>
    <t>B2652 VA058 4T  16/6  17*23</t>
  </si>
  <si>
    <t>SA170299A(CVC-U) VA032  1CA  14/6  kt</t>
  </si>
  <si>
    <t>B2214  VB126  1CA 14/6  0*3</t>
  </si>
  <si>
    <t>B2881 VB011  1CA 15/6</t>
  </si>
  <si>
    <t>B2299  VB043  1CA 16/6</t>
  </si>
  <si>
    <t>SGR01899E VB024  2CA  22/6</t>
  </si>
  <si>
    <t>B07B(C60/ETB40) 3JUVA010 38T  20/6</t>
  </si>
  <si>
    <t>B1069(OCN60/ETB40-AA) VA021  2T  15//6  9*16</t>
  </si>
  <si>
    <t>BCVC04B  VA084  2CA 16/6</t>
  </si>
  <si>
    <t>B05 VB079  20T  17/6</t>
  </si>
  <si>
    <t>SGR92083B  VB162  1CA 23/6</t>
  </si>
  <si>
    <t>B2347(C60/ETB40) vb020  1ca  20/6 KT</t>
  </si>
  <si>
    <t>BCVC0209 VB036  1CA  16/6</t>
  </si>
  <si>
    <t>BCVC2282  VB003  2CA 18/6 kt</t>
  </si>
  <si>
    <t>B0209  VB040  1.5T  17/6  12*16</t>
  </si>
  <si>
    <t>B2C001  VB001  1CA  18/6</t>
  </si>
  <si>
    <t>B2347  VB090  2CA  19/6</t>
  </si>
  <si>
    <t>B12B VA150 16/6 kt</t>
  </si>
  <si>
    <t>BUM047AER30-AA-U va008 1.5T   18/6  5*13</t>
  </si>
  <si>
    <t>B06G(FH18)(BOC20-AA)  VB019  17T  22/6</t>
  </si>
  <si>
    <t>BPM1069 VA095  2CA  16/6   2*4</t>
  </si>
  <si>
    <t>BVA004A va025 47T   22/6</t>
  </si>
  <si>
    <t>B0210(C60/ETB40)  VB003  2CA  19/6</t>
  </si>
  <si>
    <t>B06G(FH18)(BOC20-AA)  VB019  17T  21/6</t>
  </si>
  <si>
    <t>JC VB049</t>
  </si>
  <si>
    <t>jc vb048</t>
  </si>
  <si>
    <t>B05 VB079  20T  17/6  kt</t>
  </si>
  <si>
    <t>BC04(D) VB002  1T  21/6  7*8</t>
  </si>
  <si>
    <t>BNC04C(CVC) VB027  13T  17/6</t>
  </si>
  <si>
    <t>SGR92083B(C60/ERT40-AA)(D)  vb008  2ca  17/6  1*3</t>
  </si>
  <si>
    <t>BS0278 vb079  3T 18/6  8*16</t>
  </si>
  <si>
    <t>BMC03(AA)  VB014  2CA  17/6  3*4</t>
  </si>
  <si>
    <t>B11B(OCN80/ERT20) VA001  2CA 18/6 kt</t>
  </si>
  <si>
    <t>B1124  va018  7T  18/6 kt</t>
  </si>
  <si>
    <t>B1115 VA015  1T   18/6  7*8</t>
  </si>
  <si>
    <t>SA219061C  3JVB036  6T  20/6</t>
  </si>
  <si>
    <t>SA219061C  3JVB036  10T  21/6</t>
  </si>
  <si>
    <t>BNC01(OCN) VB007  1T  18/6   3*8</t>
  </si>
  <si>
    <t>B07B(C60/ETB40) 3JUVA010 38T  18/6</t>
  </si>
  <si>
    <t>B12B(OCN) VA005  1T   17/6 0*4</t>
  </si>
  <si>
    <t>B0278(C60/ETB40) VB007  14T  17/6 KT</t>
  </si>
  <si>
    <t>B06A(BOC20-AA)  va020  7T  25/6</t>
  </si>
  <si>
    <t>B2452  VB010  2CA  24/6 kt</t>
  </si>
  <si>
    <t>BPM03  VB003US  2CA  19/3 kt</t>
  </si>
  <si>
    <r>
      <t xml:space="preserve">B0278(C60/ETB40) VB007 </t>
    </r>
    <r>
      <rPr>
        <sz val="15"/>
        <color rgb="FFFF0000"/>
        <rFont val="Times New Roman"/>
        <family val="1"/>
      </rPr>
      <t>dời 19 qua  19/6 kt</t>
    </r>
  </si>
  <si>
    <t>SO249196AU  VA013  2CA 19/6 kt</t>
  </si>
  <si>
    <t>B04B  VA116 9T 21/6</t>
  </si>
  <si>
    <t>B0423(OCN) va006  1.5T  18/6 7*8</t>
  </si>
  <si>
    <t>B1067  VA142  1CA 19/6</t>
  </si>
  <si>
    <t>B04B(AA) va115  4.5T  21/6</t>
  </si>
  <si>
    <t>BOC1069  VA017  1CA 22/6</t>
  </si>
  <si>
    <t>B2782 VB015  1T  19/6  2*8 kt</t>
  </si>
  <si>
    <t>BNC04C(ZR) VB009  1.5T  20/6  7*8</t>
  </si>
  <si>
    <t>SO152767C(XY)  VB071  SỢI X 6T 21/6  33*37</t>
  </si>
  <si>
    <t>BM(100M)0208(AA) VB003  1T  20/6 8*9</t>
  </si>
  <si>
    <t>B1124(C60/ETB40)  VA028   2CA  19/6 3*4 kt</t>
  </si>
  <si>
    <t>BPM1069 VA096  2CA  22/6 kt</t>
  </si>
  <si>
    <t>BVA004A va025 47T   21/6</t>
  </si>
  <si>
    <r>
      <t xml:space="preserve">B06G(FH18)(BOC20-AA)  VB019 </t>
    </r>
    <r>
      <rPr>
        <sz val="15"/>
        <color rgb="FFFF0000"/>
        <rFont val="Times New Roman"/>
        <family val="1"/>
      </rPr>
      <t>DỜI 16# QUA CHẠY 22/6</t>
    </r>
  </si>
  <si>
    <t>BM(70M)1068(AA) va003  1.5T  20/6  12*16</t>
  </si>
  <si>
    <t>SO206427I VB037  2CA  19/6  0*3 kt</t>
  </si>
  <si>
    <t>BTCC02 vb045  3T  21/6 13*16</t>
  </si>
  <si>
    <t>BCVC2282 VB004  2CA  21/6 kt</t>
  </si>
  <si>
    <t>B2347(C60/M20/ETB20) VB003  1CA  23/6</t>
  </si>
  <si>
    <t>SO259138AC60/M20/ETB20 VB002  1CA  24/6</t>
  </si>
  <si>
    <t>B0204(OCN) vb001  1.5T 20/6  4*8</t>
  </si>
  <si>
    <t>SA155427K VB012  2T  22/6  9*16</t>
  </si>
  <si>
    <t>B0212(C60/ETB40) vb003  1ca 25/6</t>
  </si>
  <si>
    <t>B1069(OCR) VA008  2T  21/6  13*16</t>
  </si>
  <si>
    <t>B06B va069 2ca  22/6</t>
  </si>
  <si>
    <t>BPM2299DN  VB003  1.5T  22/6 4*8</t>
  </si>
  <si>
    <t>B2829  VB008 1CA 21/6 kt</t>
  </si>
  <si>
    <t>BS0278 VB080  1CA  23/6 kt</t>
  </si>
  <si>
    <t>BCR0201 vb003  2ca  22/6   6*9</t>
  </si>
  <si>
    <t>.</t>
  </si>
  <si>
    <t>SA239212AAG3G va006  1.5T  21/6   6*10  kt</t>
  </si>
  <si>
    <t>SGR82938A(BOC10-U) VA024  4T  22/6  20*23</t>
  </si>
  <si>
    <t>BM(100M)04B(AA) VA015  2CA  22/6  3*4 kt</t>
  </si>
  <si>
    <t>B06A(BOC10) TJUVA102UBY   13T   24/6</t>
  </si>
  <si>
    <t>SA200871ACVC-U va041  7T   25/6</t>
  </si>
  <si>
    <t>B12B VA150 23/6</t>
  </si>
  <si>
    <t>B0213  VB030  2CA 23/6</t>
  </si>
  <si>
    <t>BC03  VB080  2CA 24/6</t>
  </si>
  <si>
    <t>B2782 VB016  1CA  21/6  0*3</t>
  </si>
  <si>
    <t>B2366 VB074  1CA  22/6</t>
  </si>
  <si>
    <t>B2385 VB027  1CA  20/6</t>
  </si>
  <si>
    <t>đổi cự ly 13</t>
  </si>
  <si>
    <t>BM(50M)1123(BPM) JUVA002  1CA 22/6</t>
  </si>
  <si>
    <t>BPM1069 VA097 1CA 23/6</t>
  </si>
  <si>
    <t>BPM(20)2214  VB020    10T  23/6  kt</t>
  </si>
  <si>
    <t>SGR91885D VB017  2CA  4/7 kt</t>
  </si>
  <si>
    <t>BSY5397A VB015  2CA  23/6 kt</t>
  </si>
  <si>
    <t>SA170299A(C60/M20/ETB20-U) VA004  1CA  24/6 kt</t>
  </si>
  <si>
    <t>BM12B VA061  1.5T  23/6  1*16 kt</t>
  </si>
  <si>
    <t xml:space="preserve">SA155794D(ER10-XY-U) VA017  1.5T  SỢI X - XY  0*2+9*10  23/6 </t>
  </si>
  <si>
    <r>
      <t xml:space="preserve">B1124  VA019 </t>
    </r>
    <r>
      <rPr>
        <b/>
        <sz val="13"/>
        <color rgb="FFFF0000"/>
        <rFont val="Times New Roman"/>
        <family val="1"/>
      </rPr>
      <t xml:space="preserve"> CHẠY TRƯỚC 155.12 LB (22/6) </t>
    </r>
    <r>
      <rPr>
        <b/>
        <sz val="13"/>
        <rFont val="Times New Roman"/>
        <family val="1"/>
      </rPr>
      <t xml:space="preserve"> - còn lại 2T  23/6 4*4+14*16</t>
    </r>
  </si>
  <si>
    <t>SO41269A(U) VA050  1T  25/6 kt</t>
  </si>
  <si>
    <t>B0284  VA027  1CA 22/6</t>
  </si>
  <si>
    <t>B2652  VA0259  1CA 22/6</t>
  </si>
  <si>
    <t>B1124V(EA30) VA004  2CA 22/6</t>
  </si>
  <si>
    <t>SA170299A(OCR-U) VA005  2CA  22/6</t>
  </si>
  <si>
    <t>B1069 VA218  2CA  22/6</t>
  </si>
  <si>
    <t>SGR82938A(BOC5-U) VA001  1CA 22/6 kt</t>
  </si>
  <si>
    <t>BPM03 VB004  2CA    2*4 23/6</t>
  </si>
  <si>
    <t>B2879(C60/RE40) VB002  1CA  24/6</t>
  </si>
  <si>
    <t>ĐỔI cự ly 13</t>
  </si>
  <si>
    <t>BM1113(AA) va001  1ca   25/6</t>
  </si>
  <si>
    <t>B09B(OCN) va003 1ca  23/6</t>
  </si>
  <si>
    <t>B0475 VA017  1CA  24/6</t>
  </si>
  <si>
    <t>BM(100)2622 VB001  1CA  25/6 kt</t>
  </si>
  <si>
    <t>SGR92083B(BPM20) VB032  2CA  25/6  3*8</t>
  </si>
  <si>
    <t>BCVC(40ET)11B  VA010  2CA  24/6  1*7</t>
  </si>
  <si>
    <t>B1069(OCR) VA009 2CA  24/6  3*4</t>
  </si>
  <si>
    <t>B1004P(EA30) va018  1CA  27/6 kt</t>
  </si>
  <si>
    <t>BTC12B VA058  1.5T 24/6   (2/7) 11*16 kt</t>
  </si>
  <si>
    <t>SGR92083B vb163 1T 25/6  2*8</t>
  </si>
  <si>
    <t>BM(M)0278(BPM) VB003  1.5T  25/6  11*16</t>
  </si>
  <si>
    <t>B0208(GC100) vb005  1T  26/6 0*8</t>
  </si>
  <si>
    <t>B2347 VB091  1CA  25/6 kt</t>
  </si>
  <si>
    <t>B2866 VB010  2CA  27/6 kt</t>
  </si>
  <si>
    <t>BS0278 VB081  1CA  27/6 kt</t>
  </si>
  <si>
    <t>SA155427K VB014  2CA  25/6  2*3</t>
  </si>
  <si>
    <t>BM(70M)1068(BPM-AA) VA011  1T  26/6   2*8 kt</t>
  </si>
  <si>
    <t>B0284 va028  2ca giao 26/6  3*4</t>
  </si>
  <si>
    <r>
      <t xml:space="preserve">BTE(100LF)1069  VA001  2CA  26/6  </t>
    </r>
    <r>
      <rPr>
        <b/>
        <sz val="14"/>
        <rFont val="Times New Roman"/>
        <family val="1"/>
      </rPr>
      <t>GẤP  1*8</t>
    </r>
  </si>
  <si>
    <t>BSB4047BERT50/C25/R25ETERAAU va004  2ca 26/6  0*8</t>
  </si>
  <si>
    <t>SA259415AC60/ERT40-U VA001  1CA 25/6</t>
  </si>
  <si>
    <t>B12B VA150 26/6 kt</t>
  </si>
  <si>
    <t>SGR92083B VB160  5T 25/6</t>
  </si>
  <si>
    <t>B05 VB080  11T   27/6</t>
  </si>
  <si>
    <t>B1069(OCN) VA059  1CA  26/6</t>
  </si>
  <si>
    <t>B1062 va025  1ca  26/6</t>
  </si>
  <si>
    <t>SA170299A(U) va045  1ca 27/6</t>
  </si>
  <si>
    <t>B2656 VB062  2CA 27/6  2*3</t>
  </si>
  <si>
    <t>SA219061C VB037  2CA  27/6 kt</t>
  </si>
  <si>
    <t>SO259375BBPM20 vb001 7T  26/6 kt</t>
  </si>
  <si>
    <t>SO259375BBPM20 vb001 7T  25/6 kt</t>
  </si>
  <si>
    <t>BFC08-128  VB006 SỢI X  1CA 26/6 kt</t>
  </si>
  <si>
    <t>BM1094(AA) va001  1ca  3/7  kt</t>
  </si>
  <si>
    <t>SA170299A(BM100-AA-U)  VA006  1ca 27/6 kt</t>
  </si>
  <si>
    <t>B1004  VA204 7T  30/6</t>
  </si>
  <si>
    <t>B1NP013(BM) VB002  1T  1/7</t>
  </si>
  <si>
    <t>BSO4049CERT50/C25/R25-EY-U va003  SỢI X-XY   2CA 3/7</t>
  </si>
  <si>
    <r>
      <t xml:space="preserve">SO152767C(XY)  VB071  </t>
    </r>
    <r>
      <rPr>
        <sz val="15"/>
        <color rgb="FFFF0000"/>
        <rFont val="Times New Roman"/>
        <family val="1"/>
      </rPr>
      <t>XY</t>
    </r>
    <r>
      <rPr>
        <sz val="15"/>
        <color theme="1"/>
        <rFont val="Times New Roman"/>
        <family val="1"/>
      </rPr>
      <t xml:space="preserve">   18T  30/6</t>
    </r>
  </si>
  <si>
    <t>SGR92083B VB160  15T 26/6 kt</t>
  </si>
  <si>
    <t>B1114 VA020 4T  27/6  17*23</t>
  </si>
  <si>
    <t>thiết bị cần tiểu tu 1 ngày 27/6</t>
  </si>
  <si>
    <t>BR1124  JUVA002 13T   1/7</t>
  </si>
  <si>
    <t>BM2659(AA)  VA006  1CA 26/6</t>
  </si>
  <si>
    <t>B0210(OCR) vb016  2T  29/6  7*16  kt</t>
  </si>
  <si>
    <t>B0281 vb081 1T  27/6 7*8</t>
  </si>
  <si>
    <t>B0209 vb041  2ca  28/6</t>
  </si>
  <si>
    <t>BFC08-128  VB006    XY   2CA 29/6 kt</t>
  </si>
  <si>
    <t>B2789 VB015  2CA  28/6 kt</t>
  </si>
  <si>
    <t>SO259375BBPM20 vb001 7T  27/6 kt</t>
  </si>
  <si>
    <t>BSA3871ACR30-AA VB003  2CA  28/6 kt</t>
  </si>
  <si>
    <t>BPM(20)0475 VA005   2T  28/6  11*16</t>
  </si>
  <si>
    <t>B0284 va029  1ca  27/6 kt</t>
  </si>
  <si>
    <t>B2781(OCR) vb002  2ca 29/6</t>
  </si>
  <si>
    <t>SO152767C(XY)  VB071  XY 27/6  kt</t>
  </si>
  <si>
    <r>
      <t xml:space="preserve">SO152767C(XY)  VB071  </t>
    </r>
    <r>
      <rPr>
        <sz val="15"/>
        <color rgb="FFFF0000"/>
        <rFont val="Times New Roman"/>
        <family val="1"/>
      </rPr>
      <t>XY</t>
    </r>
    <r>
      <rPr>
        <sz val="15"/>
        <color theme="1"/>
        <rFont val="Times New Roman"/>
        <family val="1"/>
      </rPr>
      <t xml:space="preserve">   18T  27/6   kt</t>
    </r>
  </si>
  <si>
    <t>BR1124  JUVA002 13T   29/6</t>
  </si>
  <si>
    <t>BM1085(AA) va001  1T  28/6  2*7</t>
  </si>
  <si>
    <t>BCVC1004   JUVA025M1 1CA 1/7</t>
  </si>
  <si>
    <t>BPM11B  VA005  2CA  3/7</t>
  </si>
  <si>
    <t>SGR92083B   VB164  1CA  28/6 KT</t>
  </si>
  <si>
    <t>BCVC0208 VB052  2.5T   28/6  15*16 KT</t>
  </si>
  <si>
    <t>SA240274ACVC VB009  3T   27/6  22*23 KT</t>
  </si>
  <si>
    <t>BC02(OCR) VB011   1T  1/7 KT</t>
  </si>
  <si>
    <t>BM(M)07B(BPM) VA006  4T 1/7  26*31</t>
  </si>
  <si>
    <t>BA37L(CR20-AA-U) VA012  1T 29/6  2*7</t>
  </si>
  <si>
    <t>B1069(OCN80/ERT20-AA) VA001  1CA  29/6 KT</t>
  </si>
  <si>
    <t>SGR92083B VB165  1CA 1/7</t>
  </si>
  <si>
    <t>B0278(C60/ERT40) vb009 1ca 2/7</t>
  </si>
  <si>
    <t xml:space="preserve">đổi cự ly </t>
  </si>
  <si>
    <t>SA259428AU  VA001  1CA 30/6</t>
  </si>
  <si>
    <t>B2652 va060  2ca  1/7</t>
  </si>
  <si>
    <t>B1124 VA021  1CA  1/7</t>
  </si>
  <si>
    <t>ĐỔI CỰ LY</t>
  </si>
  <si>
    <t>B1069(OCN-AA)  VA060  1CA  2/7</t>
  </si>
  <si>
    <t>BPM(50)1068 VA007  1CA  4/7</t>
  </si>
  <si>
    <t>B05 VB080  11T   30/6  kt</t>
  </si>
  <si>
    <t>SO259404A  VB001  1CA  29/6 kt</t>
  </si>
  <si>
    <t>BM(100)2347(AA) VB007  2CA  29/6  3*4 kt</t>
  </si>
  <si>
    <t>BSB4041AERT50/C25/R25-EY-U VA008  SỢI X-XY   2CA 5/7  2*4</t>
  </si>
  <si>
    <t>B1124 VA020  1T 1/7 1*7</t>
  </si>
  <si>
    <t>SA170299A(BM100M-AA-U) va020  2ca 2/7 kt</t>
  </si>
  <si>
    <t>BR1124  JUVA002 13T   1/7 kt</t>
  </si>
  <si>
    <t>B2367(OCN50/M50) VB008  2CA  30/6  2*3</t>
  </si>
  <si>
    <t>BOC2367  VB002 1CA 1/7</t>
  </si>
  <si>
    <t>SO17056F  VB022  1CA 1/7</t>
  </si>
  <si>
    <t>SGR41668A(CVC5-U) VA037  9T  3/7</t>
  </si>
  <si>
    <t>BUM009AERC30-AA VB001  35T     7/7</t>
  </si>
  <si>
    <t>B1004P(EA30) va019 1T  2/7</t>
  </si>
  <si>
    <t>SO206427I vb038  2ca  1/7 kt</t>
  </si>
  <si>
    <t>SA239190A  VB005  1CA 1/7</t>
  </si>
  <si>
    <t>BPM07B VA003  6T  2/7 KT</t>
  </si>
  <si>
    <t>B07B(C60/ERT40) va012  1ca  1/7  3*4</t>
  </si>
  <si>
    <t>BPM07B VA003  6T 1/7</t>
  </si>
  <si>
    <t>B1020 va056   2ca  2/7 KT</t>
  </si>
  <si>
    <t>BM(100M)1019  VA012  18T  5/7</t>
  </si>
  <si>
    <t>BCVC(40ETB)104 va063   11T  4/7</t>
  </si>
  <si>
    <t xml:space="preserve">BM(100M)04B(AA) VA016  7T  3/7  </t>
  </si>
  <si>
    <t>BTC0201 VB027  5T  3/7  22*31</t>
  </si>
  <si>
    <t>B2207 vb016 1T  30/6  6*8 KT</t>
  </si>
  <si>
    <t>BC02   VB117 2/7 KT</t>
  </si>
  <si>
    <t>BM(100M)04B(AA) VA016  6T  3/7</t>
  </si>
  <si>
    <t>BC02   VB117  2/7 kt</t>
  </si>
  <si>
    <t>SO241260A  VB015   1.5T  3/7  7*8</t>
  </si>
  <si>
    <r>
      <t xml:space="preserve">SGR41667A(CVC20-XY) VB046  </t>
    </r>
    <r>
      <rPr>
        <sz val="15"/>
        <color rgb="FFFF0000"/>
        <rFont val="Times New Roman"/>
        <family val="1"/>
      </rPr>
      <t>SỢI X</t>
    </r>
    <r>
      <rPr>
        <sz val="15"/>
        <color theme="1"/>
        <rFont val="Times New Roman"/>
        <family val="1"/>
      </rPr>
      <t xml:space="preserve">  5T  6/7  21*23 kt</t>
    </r>
  </si>
  <si>
    <t>ĐẠI TU  5/7</t>
  </si>
  <si>
    <t>BCVC04B va085  2ca  3/7   2*4</t>
  </si>
  <si>
    <t>BM1068(AA) VA002  7T  6/7</t>
  </si>
  <si>
    <t>BM1068(AA) VA002  7T  7/7</t>
  </si>
  <si>
    <r>
      <t xml:space="preserve">SGR41667A(CVC20-XY) VB046  </t>
    </r>
    <r>
      <rPr>
        <sz val="15"/>
        <color rgb="FFFF0000"/>
        <rFont val="Times New Roman"/>
        <family val="1"/>
      </rPr>
      <t>XY</t>
    </r>
    <r>
      <rPr>
        <sz val="15"/>
        <color theme="1"/>
        <rFont val="Times New Roman"/>
        <family val="1"/>
      </rPr>
      <t xml:space="preserve">   9T  5/7</t>
    </r>
  </si>
  <si>
    <t>BC03  VB079  5/7</t>
  </si>
  <si>
    <t>BUM009AERC30-AA VB001  35T     4/7</t>
  </si>
  <si>
    <t>BC03  VB079  10T  30/6- 8/7</t>
  </si>
  <si>
    <t>BC03  VB079  10T  30/6- 7/7</t>
  </si>
  <si>
    <t>BC03  VB079  7T  30/6- 5/7</t>
  </si>
  <si>
    <t>B1124P(ERT65/EA30/C5-AA) VA002  1CA 6/7</t>
  </si>
  <si>
    <r>
      <t xml:space="preserve">BCR(30)2214A </t>
    </r>
    <r>
      <rPr>
        <sz val="15"/>
        <color rgb="FFFF0000"/>
        <rFont val="Times New Roman"/>
        <family val="1"/>
      </rPr>
      <t xml:space="preserve">VB030 </t>
    </r>
    <r>
      <rPr>
        <sz val="15"/>
        <color theme="1"/>
        <rFont val="Times New Roman"/>
        <family val="1"/>
      </rPr>
      <t xml:space="preserve"> 2T  2/7  14*16</t>
    </r>
  </si>
  <si>
    <t>B1047  VA031   1T  2/7  6*7</t>
  </si>
  <si>
    <t>SA200871AU VA079  1CA  2/7</t>
  </si>
  <si>
    <t>BM1068(AA) VA002  7T  9/7</t>
  </si>
  <si>
    <t>BMC03(AA) VB015  1CA  4/7</t>
  </si>
  <si>
    <t>B2212 VB070  11 búp  1.5T  3/7  8*11</t>
  </si>
  <si>
    <t>SGR92083B vb159  1T  4/7  2*8</t>
  </si>
  <si>
    <t>SGR92083B(CR30) VB024  2CA  4/7 kt</t>
  </si>
  <si>
    <t>BTCC02 VB046  1CA  3/7 kt</t>
  </si>
  <si>
    <t>BA37L(U) VA175U 4T 4/7   28*31 +4</t>
  </si>
  <si>
    <t>B04B VA114  4/7</t>
  </si>
  <si>
    <t>B2798 VB018  1CA  4/7</t>
  </si>
  <si>
    <t>B04B VA114  5/7</t>
  </si>
  <si>
    <t>B2294 VB010  1CA  15/7</t>
  </si>
  <si>
    <t>B2212 VB070  12 búp  1.5T  4/7 5*12 kt</t>
  </si>
  <si>
    <t>B2347   VB093  2CA 5/7 0*3</t>
  </si>
  <si>
    <t>B1NP013(BM) VB003  2CA  5/7  0*3</t>
  </si>
  <si>
    <t>SO259375BBPM20 VB002  2CA 4/7 2*6 kt</t>
  </si>
  <si>
    <t>BUM009AERC30-AA VB001  35T     4/7 kt</t>
  </si>
  <si>
    <t>BPM1069 va098  1T  8/7 2*8</t>
  </si>
  <si>
    <t>B8820 VA007  2CA  5/7 1*4</t>
  </si>
  <si>
    <t>B1067 VA143  1T   5/7 3*7 NGƯNG TLY kt</t>
  </si>
  <si>
    <t>BM(100)1069 VA006  1CA  4/7 kt</t>
  </si>
  <si>
    <t>B1069 VA219  1T  6/7  0*7</t>
  </si>
  <si>
    <t>B1124V(EA30) VA005 2CA  7/7</t>
  </si>
  <si>
    <t>BUM051AER30-AA-U VA013 14T   7/7</t>
  </si>
  <si>
    <t>B06A(FH18)(BOC10) va103  12T 7/7</t>
  </si>
  <si>
    <t>B0283  VB046  1CA  5/7 KT</t>
  </si>
  <si>
    <t>SGR92083B VB166 1.5T 5/7  2*8 kt</t>
  </si>
  <si>
    <t>SO152767C(XY) VB072 SỢI X 1CA 5/7 kt</t>
  </si>
  <si>
    <t>SA259437A VB001  2CA  14/7  kt</t>
  </si>
  <si>
    <t>BPM03 VB005  1CA  5/7  kt</t>
  </si>
  <si>
    <t>BCVC0294 vb002  3T  6/7  22*23+3  kt</t>
  </si>
  <si>
    <t>SA192462ABTE100LF-U VA001  chạy trc 167LB- CÒN LẠI  1.5T   6/7 4*4+1*8 kt</t>
  </si>
  <si>
    <t>BCVC1069 VA042  2CA  11/7 kt</t>
  </si>
  <si>
    <t>B04B(AA) VA117-A  5/7   9*10</t>
  </si>
  <si>
    <t>B1124(C60/ETB40) VA029  2CA  8//7  kt</t>
  </si>
  <si>
    <t>BPM2659 VA001  2CA  7/7</t>
  </si>
  <si>
    <r>
      <t xml:space="preserve">SGR41667A(CVC20-XY) VB046  </t>
    </r>
    <r>
      <rPr>
        <sz val="15"/>
        <color rgb="FFFF0000"/>
        <rFont val="Times New Roman"/>
        <family val="1"/>
      </rPr>
      <t>XY</t>
    </r>
    <r>
      <rPr>
        <sz val="15"/>
        <color theme="1"/>
        <rFont val="Times New Roman"/>
        <family val="1"/>
      </rPr>
      <t xml:space="preserve">   9T 5/7</t>
    </r>
  </si>
  <si>
    <t>B0201 VB021  1CA  8/7</t>
  </si>
  <si>
    <t>B1029P(EA30) VA023  2CA  6/7</t>
  </si>
  <si>
    <t>B0475(OCR) va002  2ca 7/7</t>
  </si>
  <si>
    <t>B1025 VA020 1CA  8/7</t>
  </si>
  <si>
    <t>SA170299A(C60/M20/ETB20-U) VA005  1T  7/7 6*7</t>
  </si>
  <si>
    <t>B2652 VA061  1.5T 8/7 0*8</t>
  </si>
  <si>
    <t>BM1068(AA) VA002  7T  8/7 kt</t>
  </si>
  <si>
    <t>BM1085(AA)  VA002  2CA  8/7 kt</t>
  </si>
  <si>
    <t>B2367  VB039 1T 8/7 kt</t>
  </si>
  <si>
    <t>BSA3871ABPM20 VB024  1CA  5/7  kt</t>
  </si>
  <si>
    <t>SO206427I VB039  1CA 7/7 kt</t>
  </si>
  <si>
    <t>BC04 vb071  TẠM 17# kt</t>
  </si>
  <si>
    <r>
      <t xml:space="preserve">SGR41667A(CVC20-XY) VB046  </t>
    </r>
    <r>
      <rPr>
        <sz val="15"/>
        <color rgb="FFFF0000"/>
        <rFont val="Times New Roman"/>
        <family val="1"/>
      </rPr>
      <t>XY</t>
    </r>
    <r>
      <rPr>
        <sz val="15"/>
        <color theme="1"/>
        <rFont val="Times New Roman"/>
        <family val="1"/>
      </rPr>
      <t xml:space="preserve">   9T  7/3-7/13 kt</t>
    </r>
  </si>
  <si>
    <t>B0285 VB029  2CA  9/7 kt</t>
  </si>
  <si>
    <t>SO152767C(XY) VB072 2CA 7/7 kt</t>
  </si>
  <si>
    <t>B0208(ETB65/R35-AA) vb002  1CA 5/7 kt</t>
  </si>
  <si>
    <t>SO41269A(U) VA051  1CA  7/7 0*4</t>
  </si>
  <si>
    <t>B04B(OCN) va004  2ca  9/7</t>
  </si>
  <si>
    <t>BOCC04 VB010 1CA  9/7</t>
  </si>
  <si>
    <t>BC03 VB081  5T  7/7   30*31 KT</t>
  </si>
  <si>
    <t>SGR92083B VB168  1CA  9/7</t>
  </si>
  <si>
    <t>BPM(20)0209 vb001  1ca  9/7 kt</t>
  </si>
  <si>
    <t>SO01731E  VB005  1CA 10/7 kt</t>
  </si>
  <si>
    <t>SGR92083B(CR30) VB025  1CA  9/7 kt</t>
  </si>
  <si>
    <t>SA229232AC50/ERT50-EY-U VA003 sợi X- XY   1CA  9/7 kt</t>
  </si>
  <si>
    <t>B07B(GC100) va003  1.5T  9/7 6*16 kt</t>
  </si>
  <si>
    <t>B1124  VA022  6T  9/7  28*31</t>
  </si>
  <si>
    <t>B1069(OCN) va061  1T  8/7  3*4</t>
  </si>
  <si>
    <t>SA170299A(BM100M-U) VA021  1CA  8/7  kt</t>
  </si>
  <si>
    <t>BVA004A va026  11/7</t>
  </si>
  <si>
    <t>BVA004A va026  12/7</t>
  </si>
  <si>
    <t>B1119 VA006  2CA  8/7 2*4</t>
  </si>
  <si>
    <t>B1123 VA016  1CA  9/7</t>
  </si>
  <si>
    <t>SA240274ACVC VB010 5T  8/7  29*31</t>
  </si>
  <si>
    <t>B1NP013(BM) VB004  1CA  8/7</t>
  </si>
  <si>
    <t>SO202477E VB025  1CA  9/7</t>
  </si>
  <si>
    <t>BC04(D) VB003  17T   10/7 kt</t>
  </si>
  <si>
    <t>SA155968A(OCR-U) VA001  1CA  9/7</t>
  </si>
  <si>
    <t>B0281 vb082  2ca 8/7 0*3</t>
  </si>
  <si>
    <t>BNC01(OCN) VB008   2CA   9/7  0*3 kt</t>
  </si>
  <si>
    <t>B0210 VB138  2ca 10/7 kt</t>
  </si>
  <si>
    <t>B0213 VB031  1CA  12/7 kt</t>
  </si>
  <si>
    <t>B2879 vb006 1ca 9/7 kt</t>
  </si>
  <si>
    <t>SGR92083B(C60/ERT40-AA)(D) VB009 1T 12/7 kt</t>
  </si>
  <si>
    <t>BPM0209 VB001  1.5T 11/7  6*16</t>
  </si>
  <si>
    <t>SO259375BBPM20 VB003  1T  9/7  5*8 kt</t>
  </si>
  <si>
    <t>BM1094(AA) VA002  1T  13/7 kt</t>
  </si>
  <si>
    <t>BCVC1067 VA024  9T  10/7 kt</t>
  </si>
  <si>
    <t>B1067 VA144  1T  9/7  5*7</t>
  </si>
  <si>
    <t>SA191068BOCR-U VA008  1T  9/7   5*7</t>
  </si>
  <si>
    <t>BM(50)04B VA002  2CA  10/7  2*4</t>
  </si>
  <si>
    <t>BUM009AERC30-AA va015 9T 23/7</t>
  </si>
  <si>
    <t>B0210 vb137  1T  13/7  3*8</t>
  </si>
  <si>
    <t>B0294 VB028  1T  10/7   7*8</t>
  </si>
  <si>
    <t>BPM2781 VB006  1.5T   12/7  9*16</t>
  </si>
  <si>
    <t>B0279 VB046  2T  12/7  2*16 kt</t>
  </si>
  <si>
    <t>BPM(50)1068 va008  1ca 11/7  1*4</t>
  </si>
  <si>
    <t>BC04 vb071 10T 9/7-12/7</t>
  </si>
  <si>
    <t>BC04 vb071 10T 9/7-14/7</t>
  </si>
  <si>
    <t>B1020 VA057  2T  11/7   11*16</t>
  </si>
  <si>
    <r>
      <t>BM(70M)1068(BPM-AA) VA012  31</t>
    </r>
    <r>
      <rPr>
        <sz val="13"/>
        <color rgb="FFFF0000"/>
        <rFont val="Times New Roman"/>
        <family val="1"/>
      </rPr>
      <t xml:space="preserve"> búp</t>
    </r>
    <r>
      <rPr>
        <sz val="13"/>
        <rFont val="Times New Roman"/>
        <family val="1"/>
      </rPr>
      <t xml:space="preserve">  4T  10/7  29*31</t>
    </r>
  </si>
  <si>
    <t>BPL(20)1068 va025  1ca  11/7</t>
  </si>
  <si>
    <t>BC03 VB082  1CA  13/7</t>
  </si>
  <si>
    <t>B0212 VB054  1CA  14/7</t>
  </si>
  <si>
    <t>SGR92083B  vb169 1ca  15/7 kt</t>
  </si>
  <si>
    <t>BPMC15 VB001  1T  12/7  1*8 kt</t>
  </si>
  <si>
    <r>
      <t>BM(70M)1068(BPM-AA) VA012  30</t>
    </r>
    <r>
      <rPr>
        <sz val="13"/>
        <color rgb="FFFF0000"/>
        <rFont val="Times New Roman"/>
        <family val="1"/>
      </rPr>
      <t xml:space="preserve"> búp</t>
    </r>
    <r>
      <rPr>
        <sz val="13"/>
        <rFont val="Times New Roman"/>
        <family val="1"/>
      </rPr>
      <t xml:space="preserve">  4T  12/7  30*30 +0*4 kt</t>
    </r>
  </si>
  <si>
    <t>BM1124  VA002  1T  11/7  3*8 kt</t>
  </si>
  <si>
    <t>B1068 VA141  2CA  12/7 kt</t>
  </si>
  <si>
    <r>
      <t xml:space="preserve">B0284 va030  1.5T  </t>
    </r>
    <r>
      <rPr>
        <b/>
        <sz val="13"/>
        <color rgb="FFFF0000"/>
        <rFont val="Times New Roman"/>
        <family val="1"/>
      </rPr>
      <t>11/7  5*10 kt</t>
    </r>
  </si>
  <si>
    <t>SA192462AU va018  1ca  11/7 kt</t>
  </si>
  <si>
    <t>BM1113(AA) VA002  1T  10/7  6*7 kt</t>
  </si>
  <si>
    <t>BM(70M)1068(AA) VA004  1T  11/7 6*7</t>
  </si>
  <si>
    <t>B0281 VB083 2CA 15/7</t>
  </si>
  <si>
    <t>BCVC02B VA006  2CA  13/7</t>
  </si>
  <si>
    <t>B1016(GC100) VA002  1.5T  17/7</t>
  </si>
  <si>
    <t>B0284(OCR) va006  2T 12/7  11*16</t>
  </si>
  <si>
    <t>B0209(GC100) vb001 1.5T  13/7  13*16</t>
  </si>
  <si>
    <t>B2830(OCR) VB001  2T  13/7 15*16</t>
  </si>
  <si>
    <t>B2324(GC100) VB003  1.5T   13/7  7*16 kt</t>
  </si>
  <si>
    <t>SO206427IBPM-DN VB009  1T  12/7   2*8 kt</t>
  </si>
  <si>
    <t>BPM2798 VB002  1T   12/7  7*8</t>
  </si>
  <si>
    <t>B2366 VB075 3.5T  12/7-13/7 15*23 kt</t>
  </si>
  <si>
    <t>BC04  VB072  2T 13/7  16*16 +0*3</t>
  </si>
  <si>
    <t>B2782  VB017  1CA  12/7 0*3</t>
  </si>
  <si>
    <t>B2798 3JVB019UA 2CA 14/7</t>
  </si>
  <si>
    <t>BM(100M)8847  vb001  1ca  12/7 kt</t>
  </si>
  <si>
    <t>BM11B(AA) va003 1CA  14/7 kt</t>
  </si>
  <si>
    <t>B1124 VA024  2CA  11/7 3*4 kt</t>
  </si>
  <si>
    <t>B1114 VA021  1CA 13/7 kt</t>
  </si>
  <si>
    <t>B02B VA135  1.5T  12/7 kt</t>
  </si>
  <si>
    <t>B04B(AA) VA117  15/7</t>
  </si>
  <si>
    <t>B04B(AA) VA117 22T  16/7</t>
  </si>
  <si>
    <t>B04B(AA) VA117 22T  17/7</t>
  </si>
  <si>
    <t>BCVC04B VA086  2CA  13/7</t>
  </si>
  <si>
    <t>BM(50M)1123(BPM) VA003  1.5T  13/7  2*8</t>
  </si>
  <si>
    <t>BPM1069 VA099  1CA  14/7</t>
  </si>
  <si>
    <t>BCVC(40ETB)104 VA064  1CA  14/7</t>
  </si>
  <si>
    <t>BMC03(AA) vb016  1.5T  16/7</t>
  </si>
  <si>
    <t>BM(50)2656 VB001  1CA  13/7</t>
  </si>
  <si>
    <r>
      <t xml:space="preserve">BM(100)2347 </t>
    </r>
    <r>
      <rPr>
        <sz val="15"/>
        <color rgb="FFFF0000"/>
        <rFont val="Times New Roman"/>
        <family val="1"/>
      </rPr>
      <t>VB008</t>
    </r>
    <r>
      <rPr>
        <sz val="15"/>
        <color theme="1"/>
        <rFont val="Times New Roman"/>
        <family val="1"/>
      </rPr>
      <t xml:space="preserve">  1CA  14/7</t>
    </r>
  </si>
  <si>
    <r>
      <t>BM(100</t>
    </r>
    <r>
      <rPr>
        <sz val="15"/>
        <color rgb="FFFF0000"/>
        <rFont val="Times New Roman"/>
        <family val="1"/>
      </rPr>
      <t>M</t>
    </r>
    <r>
      <rPr>
        <sz val="15"/>
        <color theme="1"/>
        <rFont val="Times New Roman"/>
        <family val="1"/>
      </rPr>
      <t xml:space="preserve">)2347 </t>
    </r>
    <r>
      <rPr>
        <sz val="15"/>
        <color rgb="FFFF0000"/>
        <rFont val="Times New Roman"/>
        <family val="1"/>
      </rPr>
      <t>VB003</t>
    </r>
    <r>
      <rPr>
        <sz val="15"/>
        <color theme="1"/>
        <rFont val="Times New Roman"/>
        <family val="1"/>
      </rPr>
      <t xml:space="preserve">  1CA  14/7</t>
    </r>
  </si>
  <si>
    <t>B2866 VB011  1CA 13/7</t>
  </si>
  <si>
    <t>BPM2212  VB005  2CA  17/7</t>
  </si>
  <si>
    <t>B0209 VB042  1CA  12/7  0*3</t>
  </si>
  <si>
    <t>BC04 vb071 10T 9/7-13/7</t>
  </si>
  <si>
    <t>BC04 vb071 10T 9/7-12/7 kt</t>
  </si>
  <si>
    <t>SA259437A VB002  1CA  14/7 kt</t>
  </si>
  <si>
    <t>BPM2789 VB004  1CA  18/7 KT</t>
  </si>
  <si>
    <t>B0213 VB032  1ca  16/7 KT</t>
  </si>
  <si>
    <t>B0285 VB030   2ca  14/7  0*3</t>
  </si>
  <si>
    <t>B2656 VB063  2CA 13/7</t>
  </si>
  <si>
    <t>B0201 VB022  1CA 13/7</t>
  </si>
  <si>
    <t>BC02(OCR) VB012  1T  14/7  0*8 KT</t>
  </si>
  <si>
    <t>B2793 JVB014  1.5T 14/7  0*8 KT</t>
  </si>
  <si>
    <t>B2294 VB011  1T  14/7 1*8 KT</t>
  </si>
  <si>
    <t>SA239190A VB006  1.5T  16/7 1*16 KT</t>
  </si>
  <si>
    <t>SO259404C VB001  1CA  15/7 KT</t>
  </si>
  <si>
    <t>B0278 VB082  1T 15/7  KT</t>
  </si>
  <si>
    <t>BC04 vb071 10T 9/7-15/7 KT</t>
  </si>
  <si>
    <t>SGR92083B(CR30) VB026  2CA 15/7 KT</t>
  </si>
  <si>
    <t>B06A(BOC20-AA) va021 8T  14/7 KT</t>
  </si>
  <si>
    <t>B0284   VA031    2T    16/7 KT</t>
  </si>
  <si>
    <r>
      <t xml:space="preserve">B0284  </t>
    </r>
    <r>
      <rPr>
        <b/>
        <sz val="16"/>
        <color rgb="FFFF0000"/>
        <rFont val="Times New Roman"/>
        <family val="1"/>
      </rPr>
      <t xml:space="preserve"> J</t>
    </r>
    <r>
      <rPr>
        <b/>
        <sz val="16"/>
        <color theme="1"/>
        <rFont val="Times New Roman"/>
        <family val="1"/>
      </rPr>
      <t>VA031     1.5T   15/7  0*16 KT</t>
    </r>
  </si>
  <si>
    <t>BM(M)07B(BPM) va007  1ca 15/7 KT</t>
  </si>
  <si>
    <t>B1004(GC100) va002 1.5T  14/7 15*16</t>
  </si>
  <si>
    <t>B04B  VA118 27T  16/7</t>
  </si>
  <si>
    <t>BUM047AER30-AA-U VA009 1.5T 13/7 KT</t>
  </si>
  <si>
    <t>B2561(OCN) VB002  1CA  15/7</t>
  </si>
  <si>
    <t>B0210V(EA30) vb002  2ca  16/7</t>
  </si>
  <si>
    <t>SO259436AOCN VB001  1CA  16/7 kt</t>
  </si>
  <si>
    <t>BCVC0294 VB003  1T  15/7 4*8  kt</t>
  </si>
  <si>
    <t>B07B(GC100) VA004  1.5T  16/7  4*8</t>
  </si>
  <si>
    <r>
      <t xml:space="preserve">SA259415AC60/ERT40-U  VA002   </t>
    </r>
    <r>
      <rPr>
        <sz val="13"/>
        <color rgb="FFFF0000"/>
        <rFont val="Times New Roman"/>
        <family val="1"/>
      </rPr>
      <t>chạy trước 4 tấn</t>
    </r>
    <r>
      <rPr>
        <sz val="13"/>
        <rFont val="Times New Roman"/>
        <family val="1"/>
      </rPr>
      <t xml:space="preserve">   </t>
    </r>
    <r>
      <rPr>
        <b/>
        <sz val="13"/>
        <color rgb="FFFF0000"/>
        <rFont val="Times New Roman"/>
        <family val="1"/>
      </rPr>
      <t>16 bú</t>
    </r>
    <r>
      <rPr>
        <sz val="13"/>
        <color rgb="FFFF0000"/>
        <rFont val="Times New Roman"/>
        <family val="1"/>
      </rPr>
      <t>p</t>
    </r>
    <r>
      <rPr>
        <sz val="13"/>
        <rFont val="Times New Roman"/>
        <family val="1"/>
      </rPr>
      <t xml:space="preserve"> 2T   16/7 13*16</t>
    </r>
  </si>
  <si>
    <t>B1034(GC100) VA003  1T  15/7 0*7 kt</t>
  </si>
  <si>
    <t>B1067  VA045  2CA 15/7   3*4</t>
  </si>
  <si>
    <t>B09B(OCN) VA004  1CA  15/7 kt</t>
  </si>
  <si>
    <t>BCVC1019 VA046  1T 17/7  5*9</t>
  </si>
  <si>
    <r>
      <t xml:space="preserve">SA259415AC60/ERT40-U  VA002   </t>
    </r>
    <r>
      <rPr>
        <sz val="13"/>
        <color rgb="FFFF0000"/>
        <rFont val="Times New Roman"/>
        <family val="1"/>
      </rPr>
      <t>chạy trước 4 tấn</t>
    </r>
    <r>
      <rPr>
        <sz val="13"/>
        <rFont val="Times New Roman"/>
        <family val="1"/>
      </rPr>
      <t xml:space="preserve">   </t>
    </r>
    <r>
      <rPr>
        <b/>
        <sz val="13"/>
        <color rgb="FFFF0000"/>
        <rFont val="Times New Roman"/>
        <family val="1"/>
      </rPr>
      <t>15 bú</t>
    </r>
    <r>
      <rPr>
        <sz val="13"/>
        <color rgb="FFFF0000"/>
        <rFont val="Times New Roman"/>
        <family val="1"/>
      </rPr>
      <t>p</t>
    </r>
    <r>
      <rPr>
        <sz val="13"/>
        <rFont val="Times New Roman"/>
        <family val="1"/>
      </rPr>
      <t xml:space="preserve">  2T   16/7 10*15</t>
    </r>
  </si>
  <si>
    <t xml:space="preserve">B1NA13 VB011 sợi x  2ca  16/7 </t>
  </si>
  <si>
    <t>SGR92083B  VB171   2CA 15/7  2*3</t>
  </si>
  <si>
    <t>B2367(GC100) VB003  9T  12/7-17/7</t>
  </si>
  <si>
    <t>đổi cự ly  14</t>
  </si>
  <si>
    <r>
      <t xml:space="preserve">SO251045AXYS VB001 </t>
    </r>
    <r>
      <rPr>
        <sz val="15"/>
        <color rgb="FFFF0000"/>
        <rFont val="Times New Roman"/>
        <family val="1"/>
      </rPr>
      <t>sợi x-  XY</t>
    </r>
    <r>
      <rPr>
        <sz val="15"/>
        <rFont val="Times New Roman"/>
        <family val="1"/>
      </rPr>
      <t xml:space="preserve">  1CA  17/7 0*1+xy kt</t>
    </r>
  </si>
  <si>
    <t>B2879 VB007  1CA 16/7 kt</t>
  </si>
  <si>
    <t>BPM03 VB006  2.5T  17/7 14*16</t>
  </si>
  <si>
    <t>BTC0285 VB028  2CA  16/7 kt</t>
  </si>
  <si>
    <t>SGR92083B(D) VB001  1CA 17/7 kt</t>
  </si>
  <si>
    <t>BM(M)0278(BPM) VB004  1CA  16/7 2*4 kt</t>
  </si>
  <si>
    <t>BM(50)1068(AA) va001  1ca  17/7 kt</t>
  </si>
  <si>
    <t>BA37L(U) va176  2ca  17/7  kt</t>
  </si>
  <si>
    <t>B1020 VA058  1CA 17/7  1*4</t>
  </si>
  <si>
    <t>SO232003DBPM-DN VB001  1T  16/7  5*8</t>
  </si>
  <si>
    <t>BPMC18(AA) vb001  6T  15/7-7/17</t>
  </si>
  <si>
    <t>BPM1069 VA100  1T   17/7  4*9</t>
  </si>
  <si>
    <t>SA155427K VB015 2CA  18/7</t>
  </si>
  <si>
    <t>đổi cự ly 14</t>
  </si>
  <si>
    <t>B09B(C60/ETB40) VA024 1CA 17/7</t>
  </si>
  <si>
    <t>BM(70M)1068(AA) VA005   7T 30/7</t>
  </si>
  <si>
    <t>SGR92083B(BPM20) VB033  1CA  20/7</t>
  </si>
  <si>
    <t>ĐỔI CỰ LY 14</t>
  </si>
  <si>
    <t>BPM2299KC VB002  2CA  17/7  2*6</t>
  </si>
  <si>
    <t>B0209  VB043 1T  17/7 4*8</t>
  </si>
  <si>
    <t>SA209082B VB036  2CA  18/7</t>
  </si>
  <si>
    <t>B2366  VB076  2CA  19/7 kt</t>
  </si>
  <si>
    <t>B0283(OCR) VB002  2CA  19/7</t>
  </si>
  <si>
    <t>SO152767C(XY) VB073 sợi X  3T  17/7  11*14 kt</t>
  </si>
  <si>
    <t>SGR92083B(BPM20)-RM VB011  2CA  18/7 0*8 kt</t>
  </si>
  <si>
    <t>B2621(OCN) VB010  1T  17/7 2*8 kt</t>
  </si>
  <si>
    <t>B2207 VB017   1CA 19/7 kt</t>
  </si>
  <si>
    <t>SA200871AU VA080  2.5T  17/7.  13*16 kt</t>
  </si>
  <si>
    <t>BM(100M)1062 VA004  1CA  18/7 kt</t>
  </si>
  <si>
    <t>BM(50)07B(AA) VA008  1T  17/7  2*8 kt</t>
  </si>
  <si>
    <t>B0423(OCN) 3JUVA007  1.5T  17/7  9*10</t>
  </si>
  <si>
    <t>BM1020 VA009  2CA  19/7 kt</t>
  </si>
  <si>
    <t>BOC(90)1004 va015  1ca 19/7</t>
  </si>
  <si>
    <t>B1123 va017  9T   22/7</t>
  </si>
  <si>
    <t>B1123 va017  9T   21/7</t>
  </si>
  <si>
    <t>SA259428AU VA002  1CA  21/7</t>
  </si>
  <si>
    <t>BPMC18(AA) vb001  6T  15/7-7/22</t>
  </si>
  <si>
    <t>B0475  VA018  1CA  19/7</t>
  </si>
  <si>
    <t>SGR92083B VB170 4T  19/7-19/7 19*23</t>
  </si>
  <si>
    <r>
      <t xml:space="preserve">B1NA13 VB011  </t>
    </r>
    <r>
      <rPr>
        <sz val="15"/>
        <color rgb="FFFF0000"/>
        <rFont val="Times New Roman"/>
        <family val="1"/>
      </rPr>
      <t>XY</t>
    </r>
    <r>
      <rPr>
        <sz val="15"/>
        <rFont val="Times New Roman"/>
        <family val="1"/>
      </rPr>
      <t xml:space="preserve">  1T  20/7  3*8</t>
    </r>
  </si>
  <si>
    <t>B0201  vb023  1T  20/7 1*8</t>
  </si>
  <si>
    <t>B2385 VB028  1CA 18/7  2*3</t>
  </si>
  <si>
    <r>
      <t xml:space="preserve">BRC04 VB009 </t>
    </r>
    <r>
      <rPr>
        <sz val="15"/>
        <color rgb="FFFF0000"/>
        <rFont val="Times New Roman"/>
        <family val="1"/>
      </rPr>
      <t>16 búp</t>
    </r>
    <r>
      <rPr>
        <sz val="15"/>
        <color theme="1"/>
        <rFont val="Times New Roman"/>
        <family val="1"/>
      </rPr>
      <t xml:space="preserve">  2T  20/7  10*16</t>
    </r>
  </si>
  <si>
    <r>
      <t xml:space="preserve">B2829  vb009  1T  </t>
    </r>
    <r>
      <rPr>
        <sz val="15"/>
        <color rgb="FFFF0000"/>
        <rFont val="Times New Roman"/>
        <family val="1"/>
      </rPr>
      <t>20/7  2*8</t>
    </r>
  </si>
  <si>
    <r>
      <t xml:space="preserve">BRC04 VB009 </t>
    </r>
    <r>
      <rPr>
        <sz val="15"/>
        <color rgb="FFFF0000"/>
        <rFont val="Times New Roman"/>
        <family val="1"/>
      </rPr>
      <t>17 búp</t>
    </r>
    <r>
      <rPr>
        <sz val="15"/>
        <color theme="1"/>
        <rFont val="Times New Roman"/>
        <family val="1"/>
      </rPr>
      <t xml:space="preserve">  2T  19/7   15*17</t>
    </r>
  </si>
  <si>
    <t>B0284 va032  2ca 18/7  0*4</t>
  </si>
  <si>
    <t>B1052 VA045  3T  22/7  4*23</t>
  </si>
  <si>
    <t>SA191068BOCR-U  VA010  2T  18/7  15*16</t>
  </si>
  <si>
    <t>SB239264AGC100-U VA001  7T  22/7</t>
  </si>
  <si>
    <t>BTC12B VA059 1.5T  20/7  3*10</t>
  </si>
  <si>
    <t>BA37L(C60/ERT40-AA-U)  va014  1ca  22/7</t>
  </si>
  <si>
    <t xml:space="preserve">B04B(C60/ERT40) VB009  1ca  23/7 </t>
  </si>
  <si>
    <t>B06A(BOC10) VA104 12T 20/7</t>
  </si>
  <si>
    <t>B1124  VA025  2ca  20/7</t>
  </si>
  <si>
    <t>B1067  va146  2ca  22/7</t>
  </si>
  <si>
    <t>BPM1069 va101  1ca  24/7</t>
  </si>
  <si>
    <t>SA170299A(BM100-AA-U) VA007  1CA  25/7</t>
  </si>
  <si>
    <t>B1004 VA205  1CA 21/7</t>
  </si>
  <si>
    <t>BTCC02 VB047 1.5T  18/7 15*16</t>
  </si>
  <si>
    <t>BCVC0209 VB037  1CA  19/7</t>
  </si>
  <si>
    <t>B0285 VB031  2CA  21/7</t>
  </si>
  <si>
    <t>SGR01899E VB025  2CA  21/7</t>
  </si>
  <si>
    <t>B0210ADN vb003  1ca  19/7</t>
  </si>
  <si>
    <t>BPM1062 va007  1ca  25/7</t>
  </si>
  <si>
    <t>SA200871ACVC-U va042  4T  19/7  25*31</t>
  </si>
  <si>
    <t>BPM(50)1069 va003 1T  23/7</t>
  </si>
  <si>
    <t>BC04 VB073  2CA  21/7</t>
  </si>
  <si>
    <t>B1047(OCR) VA001  2CA 22/7</t>
  </si>
  <si>
    <t>B1069(OCN) VA063  1T  19/7</t>
  </si>
  <si>
    <t>B09B(OCN) VA005 2CA  21/7 kt</t>
  </si>
  <si>
    <t>BTC04B VA010  1CA  26/7 kt</t>
  </si>
  <si>
    <t>B02B va136  1.5T  22/7  5*10</t>
  </si>
  <si>
    <t>BA37L(U) VA177   2ca   21/7    0*4</t>
  </si>
  <si>
    <t>BH13 VB001 1CA 22/7</t>
  </si>
  <si>
    <t>B2282 VB039  2CA  28/7 KT</t>
  </si>
  <si>
    <r>
      <t xml:space="preserve">BCVC0208 VB053  </t>
    </r>
    <r>
      <rPr>
        <sz val="15"/>
        <color rgb="FFFF0000"/>
        <rFont val="Times New Roman"/>
        <family val="1"/>
      </rPr>
      <t>22 búp</t>
    </r>
    <r>
      <rPr>
        <sz val="15"/>
        <color theme="1"/>
        <rFont val="Times New Roman"/>
        <family val="1"/>
      </rPr>
      <t xml:space="preserve">  2.5T  22/7  4*22 KT</t>
    </r>
  </si>
  <si>
    <t>SA240274ACVC VB011 1T  25/7 KT</t>
  </si>
  <si>
    <r>
      <t xml:space="preserve">BCVC0208 VB053  </t>
    </r>
    <r>
      <rPr>
        <sz val="15"/>
        <color rgb="FFFF0000"/>
        <rFont val="Times New Roman"/>
        <family val="1"/>
      </rPr>
      <t>17 búp</t>
    </r>
    <r>
      <rPr>
        <sz val="15"/>
        <color theme="1"/>
        <rFont val="Times New Roman"/>
        <family val="1"/>
      </rPr>
      <t xml:space="preserve">  2T  21/7  6*17 KT</t>
    </r>
  </si>
  <si>
    <t>BC02(OCR) vb013  1.5T  22/7  1*16 KT</t>
  </si>
  <si>
    <t>SO152767C(XY) VB073  XY  7T  17/7-23/7 KT</t>
  </si>
  <si>
    <t>BOCC03 VB017  5T  18/7-23/7  24*31</t>
  </si>
  <si>
    <r>
      <t xml:space="preserve">BR2401 VB002 </t>
    </r>
    <r>
      <rPr>
        <b/>
        <sz val="15"/>
        <color rgb="FFFF0000"/>
        <rFont val="Times New Roman"/>
        <family val="1"/>
      </rPr>
      <t>13</t>
    </r>
    <r>
      <rPr>
        <sz val="15"/>
        <color rgb="FFFF0000"/>
        <rFont val="Times New Roman"/>
        <family val="1"/>
      </rPr>
      <t xml:space="preserve"> búp 1.5T  22/7  9*13</t>
    </r>
  </si>
  <si>
    <t>SA259469A VB001   1CA 22/7</t>
  </si>
  <si>
    <t>B2561(OCN) VB003  1T  22/7  3*8</t>
  </si>
  <si>
    <t>B2651  VB001  15T  12/7-24/7</t>
  </si>
  <si>
    <t>BOC0214 VB005 4T  24/7-24/7</t>
  </si>
  <si>
    <t>B0278 VB083 9T 18/7- 25/7</t>
  </si>
  <si>
    <t>B0278 VB083 9T 18/7- 26/7</t>
  </si>
  <si>
    <t>B0214(GC100) vb001  2ca  24/7</t>
  </si>
  <si>
    <t>B2795 VB005  1CA  22/7  kt</t>
  </si>
  <si>
    <t>BTC0210 VB004  1CA  22/7  0*3</t>
  </si>
  <si>
    <t xml:space="preserve">BNC04C VB049  2CA  24/7 </t>
  </si>
  <si>
    <t>B05 vb081  1ca 23/7  kt</t>
  </si>
  <si>
    <t>SO152767C(XY) VB073  XY  7T  17/7-24/7  kt</t>
  </si>
  <si>
    <t>B1NP017  vb010  1ca  23/7 kt</t>
  </si>
  <si>
    <t>B2NA34(CVC) VB001  sơi x- XY  1CA  24/7 kt</t>
  </si>
  <si>
    <t>B0208(C60/ETB40) vb026  1T  23/7 7*8 kt</t>
  </si>
  <si>
    <r>
      <t xml:space="preserve">BR2401 VB002 </t>
    </r>
    <r>
      <rPr>
        <b/>
        <sz val="15"/>
        <rFont val="Times New Roman"/>
        <family val="1"/>
      </rPr>
      <t>13</t>
    </r>
    <r>
      <rPr>
        <sz val="15"/>
        <rFont val="Times New Roman"/>
        <family val="1"/>
      </rPr>
      <t xml:space="preserve"> búp 1.5T  22/7  8*13 kt</t>
    </r>
  </si>
  <si>
    <r>
      <t xml:space="preserve">BR2401 VB002 </t>
    </r>
    <r>
      <rPr>
        <b/>
        <sz val="15"/>
        <rFont val="Times New Roman"/>
        <family val="1"/>
      </rPr>
      <t>14</t>
    </r>
    <r>
      <rPr>
        <sz val="15"/>
        <rFont val="Times New Roman"/>
        <family val="1"/>
      </rPr>
      <t xml:space="preserve"> búp 1.5T  22/7  8*14 kt</t>
    </r>
  </si>
  <si>
    <t>B06A(FH18)(M50/C45/OC5-AA) va014  1T  22/7  1*7 kt</t>
  </si>
  <si>
    <t>B8847  VA025  2CA  23/7 kt</t>
  </si>
  <si>
    <t>SA229142AU VA018  1CA 22/7 kt</t>
  </si>
  <si>
    <t>B06A(BOC10) VA104 12T 22/7 kt</t>
  </si>
  <si>
    <t>B1124  VA023  24T  25/7</t>
  </si>
  <si>
    <t>B1124  VA023  24T  26/7</t>
  </si>
  <si>
    <r>
      <t>BC04(D) VB004  11T  19/7-</t>
    </r>
    <r>
      <rPr>
        <sz val="15"/>
        <color rgb="FFFF0000"/>
        <rFont val="Times New Roman"/>
        <family val="1"/>
      </rPr>
      <t>27/7</t>
    </r>
  </si>
  <si>
    <t>đổi cự ly 10</t>
  </si>
  <si>
    <t>B0216 vb011  1ca  24/7 kt</t>
  </si>
  <si>
    <t>BSA3871ACR30-AA VB004  1T  25/7  kt</t>
  </si>
  <si>
    <t>BPM2656 VB002  1CA  23/7 kt</t>
  </si>
  <si>
    <t>B2651  VB001  15T  12/7-23/7 kt</t>
  </si>
  <si>
    <t>SGR92083B  VB172  1CA  23/7 0*3</t>
  </si>
  <si>
    <t>BC03 vb083  5T    23/7  25*31 kt</t>
  </si>
  <si>
    <t>B2656 VB064  2CA  23/7  0*3</t>
  </si>
  <si>
    <t>BPM(20)0475 VA006   1T    25/7  6*7</t>
  </si>
  <si>
    <t>BA37L(C60/ERT40-AA-U) VA015  1CA 23/7  2*4</t>
  </si>
  <si>
    <t>B1069  VA221  1.5T  25/7  4*16 kt</t>
  </si>
  <si>
    <t>BUM051AER30-AA-U VA014  7T  22/7 kt</t>
  </si>
  <si>
    <t>B1069  VA220 3T 24/7  15*16</t>
  </si>
  <si>
    <t>BPL(20)1068 VA026  1CA 23/7 1*4</t>
  </si>
  <si>
    <t>BCVC07B va094  1ca  25/7</t>
  </si>
  <si>
    <t>BVO004B VB002  2CA  26/7</t>
  </si>
  <si>
    <t>CHỈNH CỰ LY 13</t>
  </si>
  <si>
    <t>BN08(TC) VB016  1T  23/7  4*8 kt</t>
  </si>
  <si>
    <t>BTE0278 VB001  1CA 24/7 kt</t>
  </si>
  <si>
    <t>BOC(90)C03  VB001  2CA  24/7 2*3</t>
  </si>
  <si>
    <t>B03(OCN) VB004  2T  25/7  9*16 kt</t>
  </si>
  <si>
    <t>B0278(OCN) vb001  1ca  24/7 kt</t>
  </si>
  <si>
    <t>B2347 VB094  1CA  25/7 kt</t>
  </si>
  <si>
    <r>
      <t>SGR41667A(CVC20-XY) VB047</t>
    </r>
    <r>
      <rPr>
        <sz val="15"/>
        <color rgb="FFFF0000"/>
        <rFont val="Times New Roman"/>
        <family val="1"/>
      </rPr>
      <t xml:space="preserve"> SỢI X</t>
    </r>
    <r>
      <rPr>
        <sz val="15"/>
        <color theme="1"/>
        <rFont val="Times New Roman"/>
        <family val="1"/>
      </rPr>
      <t xml:space="preserve"> 2CA  24/7 kt</t>
    </r>
  </si>
  <si>
    <t>BOC0214 VB005 4T  24/7-25/7 kt</t>
  </si>
  <si>
    <t>B0460  VA030  1CA  26/7 kt</t>
  </si>
  <si>
    <t>SA200871ACVC-U VA043 1CA  25/7 kt</t>
  </si>
  <si>
    <t>B1067 VA147  2CA 24/7 kt</t>
  </si>
  <si>
    <t>BM(100M)0275(AA) VA001  3T  24/7   31*34</t>
  </si>
  <si>
    <t>SO251031AERT65/RE35 VB001  2CA  26/7</t>
  </si>
  <si>
    <t>B2366 vb077  1T   25/7  7*8+3 kt</t>
  </si>
  <si>
    <t>B06G(FH18)(BOC20-AA) vb021  1ca  27/7  kt</t>
  </si>
  <si>
    <t>B0279 VB047  3T    27/7-25/7  14*16</t>
  </si>
  <si>
    <t>BPM0210  vb033  2.5T   27/7- 26/7 19*23</t>
  </si>
  <si>
    <t>SA200871AU VA081  1CA 26/7  kt</t>
  </si>
  <si>
    <t>BM(100M)04B(AA) VA017  2CA  26/7 kt</t>
  </si>
  <si>
    <t>BCVC12B VA075  6T   1/8</t>
  </si>
  <si>
    <t>B09B VA108  1T  25/7  2*7  kt</t>
  </si>
  <si>
    <t>SA200871ABTE-U VA001  1CA  27/7</t>
  </si>
  <si>
    <t>BPM11B va006 19 BÚP  3T  26/7 13*19 kt</t>
  </si>
  <si>
    <t>B0281 VB085  2CA 28/7</t>
  </si>
  <si>
    <t>SO259459BBOC50 VB001  1CA  27/7</t>
  </si>
  <si>
    <t>BC04(D) VB004  9T  20/7- 26/7 KT</t>
  </si>
  <si>
    <t>SA191068BOCR-U  VA011 7T 29/7</t>
  </si>
  <si>
    <t>B1124 va026  6T  29/7</t>
  </si>
  <si>
    <t>B2347 VB095  1T  28/7  1*8</t>
  </si>
  <si>
    <t>B2623 VB006  3T  27/7  16*23 kt</t>
  </si>
  <si>
    <t>SA259118B VB002  1CA 28/7 kt</t>
  </si>
  <si>
    <t>BC02(OCR) VB014  1CA  27/7 kt</t>
  </si>
  <si>
    <t>B2367(OCN) VB014  1T  25/7  7*8 kt</t>
  </si>
  <si>
    <r>
      <t xml:space="preserve">SGR41667A(CVC20-XY) VB047 </t>
    </r>
    <r>
      <rPr>
        <sz val="15"/>
        <color rgb="FFFF0000"/>
        <rFont val="Times New Roman"/>
        <family val="1"/>
      </rPr>
      <t>XY</t>
    </r>
    <r>
      <rPr>
        <sz val="15"/>
        <color theme="1"/>
        <rFont val="Times New Roman"/>
        <family val="1"/>
      </rPr>
      <t xml:space="preserve">   2.5T  28/7-27/7 10*16 kt</t>
    </r>
  </si>
  <si>
    <t>BPM11B va006  20 BÚP  3T  26/7    20*20+5*8 kt</t>
  </si>
  <si>
    <t>BSB4041AERT50/C25/R25-EY-U VA009  sợi X- XY 1T 28/7  0*7</t>
  </si>
  <si>
    <t>B1069(OCN60/ETB40-AA) VA023   5T 27/7  19*23</t>
  </si>
  <si>
    <t>BPL(20)1068 VA027  1CA 26/7 kt</t>
  </si>
  <si>
    <t>BA37L(CR20-AA-U) VA015 1T 26/7  5*7</t>
  </si>
  <si>
    <t>B0284 VA033  1T  25/7  6*7 kt</t>
  </si>
  <si>
    <t>B1114  VA022   4T  28/7   23*31</t>
  </si>
  <si>
    <t>BTE07B VA001  1CA  27/7 kt</t>
  </si>
  <si>
    <t>BCR(30)2214(AA) VB031  2CA  29/7</t>
  </si>
  <si>
    <t>BM(M)07B(BPM) VA008  2CA  30/7</t>
  </si>
  <si>
    <t>SA200871AS-U VA082  1CA 30/7</t>
  </si>
  <si>
    <t>SGR92083B(CR30-AA) VB027  2CA 26/7  1*4</t>
  </si>
  <si>
    <t>BCVC0281 VB013  1CA  27/7</t>
  </si>
  <si>
    <t>B2881 VB012  2T  26/7  15*16</t>
  </si>
  <si>
    <t>B0208  VB074  1T   28/7</t>
  </si>
  <si>
    <t>B2798  VB020  2CA 28/7</t>
  </si>
  <si>
    <t xml:space="preserve">SA200871ABM-U VA003  1CA 2 /8  </t>
  </si>
  <si>
    <t>B07B(RE100) VA001  1CA 28/7</t>
  </si>
  <si>
    <t>B1047(OCR) va002 1ca  28/7 kt</t>
  </si>
  <si>
    <t>BSB4047BERT50/C25/R25ETERAAU VA005   1T 28/7 6*7</t>
  </si>
  <si>
    <t>B06B VA071   1T  28/7   5*7</t>
  </si>
  <si>
    <t>B1115 VA016  1.5T  27/7</t>
  </si>
  <si>
    <t>B1068 va142   1ca  31/7   1*4</t>
  </si>
  <si>
    <t>B2651 vb002  2T  30/7  kt</t>
  </si>
  <si>
    <t>BM0208 VB035  4T  30/7  8*23 kt</t>
  </si>
  <si>
    <t>BCR0208 VB009  4T  30/7 9*23 kt</t>
  </si>
  <si>
    <t>B0210   VB140  2ca  1/8 kt</t>
  </si>
  <si>
    <t>BC04 VB074  3T    28/7  15*23  kt</t>
  </si>
  <si>
    <t>B0201  VB024  1CA  29/7  kt</t>
  </si>
  <si>
    <t>BOCC03 VB018  2.5T  31/7  1*23 kt</t>
  </si>
  <si>
    <t>BC03(OCN60/ERT40) VB001  2CA  29/7 kt</t>
  </si>
  <si>
    <t>B2561(OCN) VB004  2CA 29/7</t>
  </si>
  <si>
    <t>SO259231AC60/RE40 VB003  8T  30/7- 3/8</t>
  </si>
  <si>
    <t>SA170299A(CR-U) VA001  1CA 29/7</t>
  </si>
  <si>
    <t>B06G(FH18)(BOC20-AA) vb021 chạy lại 1ca  29/7</t>
  </si>
  <si>
    <t xml:space="preserve">BMC01 VB001  10T  3/8 </t>
  </si>
  <si>
    <t>B1123 VA018  2.5T  28/7   14*16 kt</t>
  </si>
  <si>
    <t>SA191068BOCR-U VA012  2T 29/7  12*16 kt</t>
  </si>
  <si>
    <t>tiểu tu 28/7 kt</t>
  </si>
  <si>
    <t>B1069(OCN) VA062  4T  28/7  21*23 kt</t>
  </si>
  <si>
    <t>B1019 VA127  1T  29/7  3*3+2*4</t>
  </si>
  <si>
    <t>B1067 VA148  2CA  30/7</t>
  </si>
  <si>
    <t>SA155427K VB016  2T 31/7- 30/7 9*16  kt</t>
  </si>
  <si>
    <t>BC03 vb085  8T   27/7- 1/8 kt</t>
  </si>
  <si>
    <t>BC03 vb085  8T   27/7-  1/8  kt</t>
  </si>
  <si>
    <t>SO259463DBOC50 VB001  1CA  29/7 kt</t>
  </si>
  <si>
    <t>BAB053 VB028 sợi B- SỢI A  1CA  30/7 0*3</t>
  </si>
  <si>
    <t>SGR92083B(BPM20) VB034  1.5T  31/7-30/7  7*16 kt</t>
  </si>
  <si>
    <t>SO35751B(BM100-AA) VB001  1CA  29/7 2*4</t>
  </si>
  <si>
    <t>SR215328AU VA009  1CA  1/8</t>
  </si>
  <si>
    <t>B2366 VB079  2CA  30/7  0*3 kt</t>
  </si>
  <si>
    <t>BC15(C60/ERT40)  VB005  2T 30/7  15*16</t>
  </si>
  <si>
    <t>B0285(C60/ETB40) vb005  6T  1/8 31*31 +0*8 kt</t>
  </si>
  <si>
    <t>B0285 VB032  2CA  30/7  0*3 kt</t>
  </si>
  <si>
    <t>B0212 VB055 1.5T  30/7  7*8</t>
  </si>
  <si>
    <t>SR215328ABPM20-U VA009  1.5T  31/7  10*13</t>
  </si>
  <si>
    <t>B12B va151  2ca   31/7  1*4</t>
  </si>
  <si>
    <t>BA37L(U) VA178  3.5T  29/7  20*23 kt</t>
  </si>
  <si>
    <t>BM(50)07B(AA) VA009  5T  30/7   29*31</t>
  </si>
  <si>
    <t>BM1124 VA003  2CA  31/7</t>
  </si>
  <si>
    <t>BM09B VA011  2CA 1/8</t>
  </si>
  <si>
    <t>BPL(20)1068 VA028  1CA  1/8</t>
  </si>
  <si>
    <t>BM(M)0278(BPM) VB005  2CA  1/8</t>
  </si>
  <si>
    <t>vệ sinh xơ bạc+ ĐỔI CỰ LY 13</t>
  </si>
  <si>
    <t>ĐỔI CỰ LY 13</t>
  </si>
  <si>
    <t>B04B  VA119  2/8</t>
  </si>
  <si>
    <t>BOC(90)C03 VB002  2CA 3/8 kt</t>
  </si>
  <si>
    <t>BCVC0294 VB004  1.5T  2/8   10*16</t>
  </si>
  <si>
    <t>SO259231AC60/RE40 VB003 4T  1/8 kt</t>
  </si>
  <si>
    <t>SO259231AC60/RE40 VB003  8T  30/7-2/8  kt</t>
  </si>
  <si>
    <t>BC02 VB122 2CA  31/7  kt</t>
  </si>
  <si>
    <t>B2651 VB003  1CA  31/7 kt</t>
  </si>
  <si>
    <t>B0210(OCR) VB017  9T 26/7- 1/8 kt</t>
  </si>
  <si>
    <t>BC15(C60/ERT40) VB006  2CA  30/7  2*4 kt</t>
  </si>
  <si>
    <t>BVA004E VA011  2CA  2/8  0*4</t>
  </si>
  <si>
    <t>BPM1069 VA102  2CA  31/7  0*4</t>
  </si>
  <si>
    <t>B1020(OCN) va002 2ca  3/8  1*4</t>
  </si>
  <si>
    <t>B2652 VA065  2CA 1/8  1*4</t>
  </si>
  <si>
    <t>SA200871AU VA083  2CA  31/7 1*3</t>
  </si>
  <si>
    <t>SA155968A(U) va002  4T  2/8  26*31</t>
  </si>
  <si>
    <t>BM(70M)1068(BPM-AA) VA013  3T  2/8   24*26+4</t>
  </si>
  <si>
    <t>BPM(50)1068 VA009  1CA  3/8</t>
  </si>
  <si>
    <t>B0208 VB075  6T  3/8</t>
  </si>
  <si>
    <t>ĐỔI CỰ LY 10</t>
  </si>
  <si>
    <t>B07B VA130  2/8</t>
  </si>
  <si>
    <t>B0281(AA)  vb084 9T 29/7-1/8</t>
  </si>
  <si>
    <t>B0281(AA)  vb084 9T 29/7-2/8</t>
  </si>
  <si>
    <t>BM0281  VB004  1CA  1/8</t>
  </si>
  <si>
    <t>BTR0278 VB003  1CA  1/8 kt</t>
  </si>
  <si>
    <t>BC03  VB087  2CA  1/8 kt</t>
  </si>
  <si>
    <t>B2789 VB016  1CA  2/8 kt</t>
  </si>
  <si>
    <t>SGR92083B VB167  2CA  1/8 2*8 kt</t>
  </si>
  <si>
    <t>B0281(AA)  VB086  1CA  2/8 kt</t>
  </si>
  <si>
    <t>BCVC2366  VB018  2CA  2/8 kt</t>
  </si>
  <si>
    <t>BM(100M)02B VA001  1CA 1/8 2*4</t>
  </si>
  <si>
    <t>B1069(OCR) va012  2ca  1/8 1*4 kt</t>
  </si>
  <si>
    <t>B1069P(EA21) VA005  2CA  1/8  3*4</t>
  </si>
  <si>
    <t>B1114  VA023  2T  2/8  8*8+7*8</t>
  </si>
  <si>
    <t>BCVC(40ET)11B  va011 1T  1/8  6*7</t>
  </si>
  <si>
    <t>BTC12B VA060  1CA  3/8 2*4</t>
  </si>
  <si>
    <t xml:space="preserve">BPM11B  VA007  8T  4/8 </t>
  </si>
  <si>
    <t xml:space="preserve">BPM11B  VA007  8T  7/8 </t>
  </si>
  <si>
    <t>SGR92083B(BPM20)-RM VB012  1CA  2/8</t>
  </si>
  <si>
    <t>B2866 VB013  2CA  3/8</t>
  </si>
  <si>
    <t>BMC03(S) vb017  2.5T 2/8  12*16</t>
  </si>
  <si>
    <t>BMC01 VB001  10T 2/8  kt</t>
  </si>
  <si>
    <t>B1124P(EA30-AA) va008  1ca 4/8</t>
  </si>
  <si>
    <t>B02B VA137  2CA  3/8</t>
  </si>
  <si>
    <t>B07B  VA130    3/8</t>
  </si>
  <si>
    <t>SA200871AU va084  1ca  4/8</t>
  </si>
  <si>
    <t>B2282 VB040  4T  3/8 12*16 kt</t>
  </si>
  <si>
    <t>BPM2366 VB009  2CA  3/8  4*6 kt</t>
  </si>
  <si>
    <t>SA259437A VB003  1CA  3/8 kt</t>
  </si>
  <si>
    <t>B2829 VB010  2ca 2/8  1*3</t>
  </si>
  <si>
    <t>BC03 VB086US chạy 55.12LB   1ca 3/8 kt</t>
  </si>
  <si>
    <t>B04B(AA) VA221 1CA 3/8</t>
  </si>
  <si>
    <t>B02B  VA139US  1CA 5/8</t>
  </si>
  <si>
    <t>B1069(OCR) VA011 6T 7/8</t>
  </si>
  <si>
    <t xml:space="preserve">B1069(OCN80/ERT20-AA) VA002  6T  6/8 </t>
  </si>
  <si>
    <t>B0278 VB084  1CA  3/8</t>
  </si>
  <si>
    <t>SB239222DBPM-U VA002  1CA  2/8  1*4</t>
  </si>
  <si>
    <t>BCVC07B VA095  1CA  3/8</t>
  </si>
  <si>
    <t>B06A(M50/C45/OC5-AA) VA015  2CA 4/8</t>
  </si>
  <si>
    <t>BPM03 VB007  2T  6/8   3*16 kt</t>
  </si>
  <si>
    <t>BCVC2366 VB019  1CA  3/8 kt</t>
  </si>
  <si>
    <t>BCVC0208 vb054  2T  5/8  15*16 kt</t>
  </si>
  <si>
    <t>SGR92083B(BPM20) VB035  2CA  4/8 kt</t>
  </si>
  <si>
    <t>B01 VB073  8T   1/8 -  4/8 kt</t>
  </si>
  <si>
    <t>B01 VB073  8T   1/8 -  5/8 kt</t>
  </si>
  <si>
    <t>B2347 VB096 1.5T 5/8  3*8</t>
  </si>
  <si>
    <t>BM(100M)02B VA002  1CA  5/8 2*4</t>
  </si>
  <si>
    <t>BCVC02B VA007  2CA  6/8</t>
  </si>
  <si>
    <t>B0284(OCR) va007 5T   7/8  0*7+3 kt</t>
  </si>
  <si>
    <t>B2294(GC100) vb001  6T  4/8-4/8 kt</t>
  </si>
  <si>
    <t>SO259289HBTE40LF VB002  6T  4/8 kt</t>
  </si>
  <si>
    <t>B09B VA109  10T   7/8-15/8</t>
  </si>
  <si>
    <t>BSA3871ABPM20 VB025  2.5T  5/8  19*23 kt</t>
  </si>
  <si>
    <t>BPM2285 VB003  1CA 6/8 kt</t>
  </si>
  <si>
    <t>SA155427K VB017  2CA  6/8 kt</t>
  </si>
  <si>
    <t>B2294(GC100) vb001  6T  4/8-5/8 kt</t>
  </si>
  <si>
    <t>B0210(OCN)  vb033  4T  5/8 22*23</t>
  </si>
  <si>
    <t>BPM11B  VA007  8T  7/8  kt</t>
  </si>
  <si>
    <t>BCVC04B VA087  1CA  8/8 kt</t>
  </si>
  <si>
    <t>SA200871ABM20-U VA002 phụ thô 13#  8 búp 6/8  6*8</t>
  </si>
  <si>
    <t>B2786(OCN10) VB001  1CA  6/8 kt</t>
  </si>
  <si>
    <t>BC03 VB089US 1CA  7/8</t>
  </si>
  <si>
    <t>SO259291BBOC VB002  2CA 7/8</t>
  </si>
  <si>
    <t>B1069(OCN-AA) VA064  8T  10/8</t>
  </si>
  <si>
    <t>BS1062 VA026  1CA  6/8</t>
  </si>
  <si>
    <t>BSB4188AAA-U va001  1ca  7/8</t>
  </si>
  <si>
    <t>BM0210 VB008  1T  10/8 0*8 kt</t>
  </si>
  <si>
    <t>B2214 VB128 2 CA  8/8 kt</t>
  </si>
  <si>
    <t>SGR91885D VB018  2CA  6/8 kt</t>
  </si>
  <si>
    <t>B1069(AA)  va222  CHẠY TRC 70LB  1CA 8/8   kt</t>
  </si>
  <si>
    <t>BPL(20)1068 VA029  1CA  6/8 kt</t>
  </si>
  <si>
    <t>BCVC1019 VA047  1CA  6/8 kt</t>
  </si>
  <si>
    <t>B0284 va034  1T 6/8 3*4</t>
  </si>
  <si>
    <t>SA170299A(BM100-AA-U)  VA008  2CA 6/8 0*4 kt</t>
  </si>
  <si>
    <t>B1124 VA027  10T  9/8</t>
  </si>
  <si>
    <t>B1124 VA027  10T  10/8</t>
  </si>
  <si>
    <t>SA200871ABM20-U VA002   6T  8/8</t>
  </si>
  <si>
    <t>B01 VB081  1CA 8/8</t>
  </si>
  <si>
    <t>BVA004A  VA027  24T  11/8</t>
  </si>
  <si>
    <t>B0285(BPM50/OCR50) VB003  1.5T  8/8 6*16 kt</t>
  </si>
  <si>
    <t>BPMC15 VB015  1T  6/8  6*8 kt</t>
  </si>
  <si>
    <t>B2449  VB013  2.5T  7/8 11*16 kt</t>
  </si>
  <si>
    <t>B2829  VB011  1CA  7/8 kt</t>
  </si>
  <si>
    <r>
      <t xml:space="preserve">báo đại tu  6/8 </t>
    </r>
    <r>
      <rPr>
        <sz val="15"/>
        <color rgb="FFFF0000"/>
        <rFont val="Times New Roman"/>
        <family val="1"/>
      </rPr>
      <t>CHIỀU 17H giao máy CỰ LY 14 kt</t>
    </r>
  </si>
  <si>
    <t>B12B(C60/ETB40)  VA015  1T  7/8  5*7</t>
  </si>
  <si>
    <t>B04B(AA) VA122  2CA  9/8</t>
  </si>
  <si>
    <t>BM(M)0278(BPM) VB006  1.5T  8/8 6*16 kt</t>
  </si>
  <si>
    <t>BC03 VB088  5T  10/8-11/8</t>
  </si>
  <si>
    <t>BVA004A  VA027  24T  10/8</t>
  </si>
  <si>
    <t>SA259415AC60/ERT40-U  VA003   12T   11/8</t>
  </si>
  <si>
    <t>BC04 VB075  1CA  8/8</t>
  </si>
  <si>
    <t>SA259469A VB002  1CA 8/8  0*3</t>
  </si>
  <si>
    <t>BC02(OCR) VB015 1T  8/8  6*8</t>
  </si>
  <si>
    <t>SA229142AU VA019  1T  8/8  6*7</t>
  </si>
  <si>
    <t>B1004 VA206  2T  10/8</t>
  </si>
  <si>
    <t>B0210  VB141  4T  7/8-10/8  17*23</t>
  </si>
  <si>
    <t>B2781 VB024  1CA  18/8</t>
  </si>
  <si>
    <t>B2789  VB017  2CA  19/8</t>
  </si>
  <si>
    <t>SA259415AC60/ERT40-U  VA003   8T   11/8</t>
  </si>
  <si>
    <t>BRAB037 VA002  1CA sợi B-A   12/8</t>
  </si>
  <si>
    <t>BC03 VB088  5T  10/8-10/8  kt</t>
  </si>
  <si>
    <t>B0210(OCR)  vb018  1T  10/8  1*8 kt</t>
  </si>
  <si>
    <r>
      <t xml:space="preserve">SO152767C(XY) VB074  </t>
    </r>
    <r>
      <rPr>
        <sz val="15"/>
        <color rgb="FFFF0000"/>
        <rFont val="Times New Roman"/>
        <family val="1"/>
      </rPr>
      <t>SỢI X</t>
    </r>
    <r>
      <rPr>
        <sz val="15"/>
        <rFont val="Times New Roman"/>
        <family val="1"/>
      </rPr>
      <t xml:space="preserve"> 3T 8/8 1*1+16*18 kt</t>
    </r>
  </si>
  <si>
    <t>B0295(OCR) vb003  1.5T  14/8 0*8</t>
  </si>
  <si>
    <t>BRC04 VB010  3T  9/8-12/8 25*34 kt</t>
  </si>
  <si>
    <t>B1067(OCN) VA017 1.5T  10/8  3*8</t>
  </si>
  <si>
    <t>SA192462AU VA019  1CA  10/8  0*4</t>
  </si>
  <si>
    <t>B0284(OCR) va008 4T  11/8  16*23</t>
  </si>
  <si>
    <t>B1019 3JUVA128  1.5T  10/8  12*16</t>
  </si>
  <si>
    <t>BM(M)07B(BPM)  va009  2T 11/8  9*17</t>
  </si>
  <si>
    <t>BPL(20)1068  va030  1ca 22/8</t>
  </si>
  <si>
    <t>BM(50)07B(AA) va010  1ca  13/8</t>
  </si>
  <si>
    <t>B1029P(EA30) va024   2ca 12/8</t>
  </si>
  <si>
    <t>SGR92083B VB173  2CA  10/8  2*8</t>
  </si>
  <si>
    <t>B0208(C60/ETB40) VB027  3T   12/8 11*23 kt</t>
  </si>
  <si>
    <t>SA209082B VB037  2CA  11/8 kt</t>
  </si>
  <si>
    <t>BC02 VB126  1CA  10/8 kt</t>
  </si>
  <si>
    <t>BC04(D) vb005  13T  2/8-12/8 kt</t>
  </si>
  <si>
    <t>BCVC0294 VB005  1T 13/8 kt</t>
  </si>
  <si>
    <t>B2366 VB080  1T   13/8  7*8</t>
  </si>
  <si>
    <t>BR2401 VB003  4T  12/8  15*31  kt</t>
  </si>
  <si>
    <t>B0210(OCR) vb020  2ca  13/8</t>
  </si>
  <si>
    <t>B1069  VA224  1CA  16/8 kt</t>
  </si>
  <si>
    <t>BCA8847   VA002  1CA 19/8 kt</t>
  </si>
  <si>
    <t>BCVC(5)1068  VA019  1T  12/8  4*7</t>
  </si>
  <si>
    <t>B1123 VA019  2CA  12/8 kt</t>
  </si>
  <si>
    <t>SA259415AC60/ERT40-U  VA003   12T   12/8 kt</t>
  </si>
  <si>
    <t>BC03  VB091  1CA  15/8</t>
  </si>
  <si>
    <t>SA170299A(OCR-U) VA006  2CA  11/8 2*4</t>
  </si>
  <si>
    <t>B1069(OCR) VA013  2CA  12/8</t>
  </si>
  <si>
    <t>SA192462AU  VA020  1CA  13/8</t>
  </si>
  <si>
    <t>SA259415AC60/ERT40-U  VA003   12T   14/8 KT</t>
  </si>
  <si>
    <t>BPM(30)C02 VB001  1CA  14/8</t>
  </si>
  <si>
    <t>B12B VA152 8T 15/8</t>
  </si>
  <si>
    <t>BCVC1019  VA048  2CA 12/8 kt</t>
  </si>
  <si>
    <t>BC03(OCN) vb010  2ca  19/8  kt</t>
  </si>
  <si>
    <t>B0210(OCN) VB034  2CA 13/8 3*8</t>
  </si>
  <si>
    <t>B2NO019(OCR)  VB006  4T  12/8-12/8 21*23</t>
  </si>
  <si>
    <t>BM(50)2656 VB002  2CA  13/8  0*4</t>
  </si>
  <si>
    <t>B09B VA111UA    2CA  11/8   3*4 kt</t>
  </si>
  <si>
    <t>B1069(OCN) VA065 1.5T  12/8   6*7</t>
  </si>
  <si>
    <t>BA37L(U)  va179  2T  l2/8  14*16</t>
  </si>
  <si>
    <t>SA170299A(BM100-AA-U)  VA009  2CA  15/8</t>
  </si>
  <si>
    <r>
      <t xml:space="preserve">SO152767C(XY) VB074  </t>
    </r>
    <r>
      <rPr>
        <sz val="15"/>
        <color rgb="FFFF0000"/>
        <rFont val="Times New Roman"/>
        <family val="1"/>
      </rPr>
      <t>XY</t>
    </r>
    <r>
      <rPr>
        <sz val="15"/>
        <rFont val="Times New Roman"/>
        <family val="1"/>
      </rPr>
      <t xml:space="preserve">  8T 6/8-13/8</t>
    </r>
  </si>
  <si>
    <t>B0281 vb087  6.5T  13/8- 15/8</t>
  </si>
  <si>
    <t>B04B  VA119  18/8</t>
  </si>
  <si>
    <t>BC03(OCN60/ERT40) vb002  1T  13/8  3*8 kt</t>
  </si>
  <si>
    <t>B1NA13 VB012  sợi x- XY  2CA  13/8 1*3</t>
  </si>
  <si>
    <t>BC04(D) vb005  13T  2/8-13/8 kt</t>
  </si>
  <si>
    <t>B2385 vb029  1T  13/8  5*8</t>
  </si>
  <si>
    <t>B2621  VB088  2T   18 búp  13/8-15/8 11*18</t>
  </si>
  <si>
    <t>B2621  VB088  2T   18 búp 13/8-15/8  11*18</t>
  </si>
  <si>
    <t>BCA0210 VB002  2CA  14/8 kt</t>
  </si>
  <si>
    <t>SA170299A(CVC-U) va033 1 ca  13/8 kt</t>
  </si>
  <si>
    <t>B09B va110GEC  2CA  14/8 kt</t>
  </si>
  <si>
    <t>BM12B VA062  6T  13/8 tk</t>
  </si>
  <si>
    <t>SA155968A(U) VA003  1CA  12/8   0*4 kt</t>
  </si>
  <si>
    <t>B1124 VA029  2CA 13/8  0*4</t>
  </si>
  <si>
    <t>B1069(OCR) VA014  2CA 12/8</t>
  </si>
  <si>
    <r>
      <t xml:space="preserve">B1069 VA223  </t>
    </r>
    <r>
      <rPr>
        <b/>
        <sz val="13"/>
        <color rgb="FFFF0000"/>
        <rFont val="Times New Roman"/>
        <family val="1"/>
      </rPr>
      <t>4T</t>
    </r>
    <r>
      <rPr>
        <b/>
        <sz val="13"/>
        <color theme="1"/>
        <rFont val="Times New Roman"/>
        <family val="1"/>
      </rPr>
      <t xml:space="preserve"> 12/8-14/8  31*31+0*4</t>
    </r>
  </si>
  <si>
    <t>BUM051AER30-AA-U VA015 7T  15/8</t>
  </si>
  <si>
    <t>B04B  VA119  17/8</t>
  </si>
  <si>
    <t>B0209 vb045  1ca  14/8</t>
  </si>
  <si>
    <t>B2299(OCN) VB001  1CA 15/8</t>
  </si>
  <si>
    <t>BUM009AERC30-AA VA016  8T 21/8</t>
  </si>
  <si>
    <r>
      <t xml:space="preserve">BC02  VB129US </t>
    </r>
    <r>
      <rPr>
        <sz val="15"/>
        <color rgb="FFFF0000"/>
        <rFont val="Times New Roman"/>
        <family val="1"/>
      </rPr>
      <t>22 búp</t>
    </r>
    <r>
      <rPr>
        <sz val="15"/>
        <color theme="1"/>
        <rFont val="Times New Roman"/>
        <family val="1"/>
      </rPr>
      <t xml:space="preserve">   3T  15/8-16/8 14*22</t>
    </r>
  </si>
  <si>
    <t>BC04  VB076  1CA  16/8  kt</t>
  </si>
  <si>
    <t>BCVC12B  va076  2ca  15/8 3*4</t>
  </si>
  <si>
    <t>B1069(AA)  va222  6T 14/8-14/8   kt</t>
  </si>
  <si>
    <t>SA259548AU VA001  7T  17/8</t>
  </si>
  <si>
    <t>B1020 va059  1ca 15/8</t>
  </si>
  <si>
    <t>BMC01  VB002  16T  12/8-17/8</t>
  </si>
  <si>
    <t>BMC01  VB002  16T  12/8-18/8</t>
  </si>
  <si>
    <t>BMC01  VB002  16T  10/8-19/8</t>
  </si>
  <si>
    <t>BMC03  vb018  1ca  18/8</t>
  </si>
  <si>
    <t>B2782  VB018  1T  15/8  5*8</t>
  </si>
  <si>
    <t>B01-RM VB001  1CA  16/8</t>
  </si>
  <si>
    <t>thiết bị đại tu 16/8+ ĐỔI CỰ LY 10</t>
  </si>
  <si>
    <t>B0281 vb087  6.5T  12/8- 15/8</t>
  </si>
  <si>
    <r>
      <t xml:space="preserve">BA01  </t>
    </r>
    <r>
      <rPr>
        <sz val="15"/>
        <color rgb="FFFF0000"/>
        <rFont val="Times New Roman"/>
        <family val="1"/>
      </rPr>
      <t>VB057  17/8</t>
    </r>
  </si>
  <si>
    <t>BPM(50)1068 VA010  2CA 14/8  1*4</t>
  </si>
  <si>
    <t>B1069(OCN) VA066  1T  16/8 1*7</t>
  </si>
  <si>
    <t>SA239394ABP-U VA009  2CA  16/8  1*4  kt</t>
  </si>
  <si>
    <t>BA01  VB056  40T 1/8-15/8 kt</t>
  </si>
  <si>
    <r>
      <t xml:space="preserve">BC02  VB129US  </t>
    </r>
    <r>
      <rPr>
        <sz val="15"/>
        <color rgb="FFFF0000"/>
        <rFont val="Times New Roman"/>
        <family val="1"/>
      </rPr>
      <t>20 búp</t>
    </r>
    <r>
      <rPr>
        <sz val="15"/>
        <color theme="1"/>
        <rFont val="Times New Roman"/>
        <family val="1"/>
      </rPr>
      <t xml:space="preserve"> 3T  15/8-15/8 15*20 kt</t>
    </r>
  </si>
  <si>
    <t>BH13  vb002  1ca  17/8 kt</t>
  </si>
  <si>
    <t>B2452 VB011 1CA 14/8  0*3 kt</t>
  </si>
  <si>
    <t>SO259561A  VB001  1CA  15/8  1*3</t>
  </si>
  <si>
    <t>B0212 VB056  1T 18/8 0*8 kt</t>
  </si>
  <si>
    <t>B2621  VB088  10T  20/8  22 búp 12/8-15/8 19*22 kt</t>
  </si>
  <si>
    <t>B2652 VA066  2CA  15/8 1*4</t>
  </si>
  <si>
    <t>SA259428AU VA003  1CA  17/8</t>
  </si>
  <si>
    <t>SO41269A(U) VA052  1CA 18/8</t>
  </si>
  <si>
    <t>B04B(OCN97/RE3) va001  2ca  19/8</t>
  </si>
  <si>
    <t>B2652 VA067  2CA  17/8</t>
  </si>
  <si>
    <t>SA155427K  VB018   2CA 15/8  1*3</t>
  </si>
  <si>
    <t>BCA2367 VB002  1CA  15/8  kt</t>
  </si>
  <si>
    <t>B1069 VA225  2CA  18/8</t>
  </si>
  <si>
    <t>BA01  VB056  40T 1/8-16/8 kt</t>
  </si>
  <si>
    <t>B0208(C60/ETB40) vb028  6T  18/8  28*31</t>
  </si>
  <si>
    <t>SA259437A VB004  2CA  16/8 kt</t>
  </si>
  <si>
    <t>BOC(90)C03 vb003  1ca  19/8 kt</t>
  </si>
  <si>
    <t>SGR92083B(CVC20-S) VB001  1CA  16/8 kt</t>
  </si>
  <si>
    <t>B0210(OCR)  vb019  1.5T  17/8  5*8</t>
  </si>
  <si>
    <t>BCVC0208  vb055  1ca  16/8 kt</t>
  </si>
  <si>
    <t>B2798  VB021  2CA  17/8</t>
  </si>
  <si>
    <t>BC02   VB123</t>
  </si>
  <si>
    <t>6BCSW VE010+6SW+12W</t>
  </si>
  <si>
    <t>2JC M + 4 VB018+ 2VB019</t>
  </si>
  <si>
    <t>2M +2 JC  PME + 4 JC TT 11301M</t>
  </si>
  <si>
    <t>BPM0210 VB034</t>
  </si>
  <si>
    <t>BM(M)0278(BPM) vb007</t>
  </si>
  <si>
    <t>5JC M +3 modal mảnh  10-14</t>
  </si>
  <si>
    <t>BCVC2347  VB043</t>
  </si>
  <si>
    <t>2M +3 VB018+3 POLY 102-2</t>
  </si>
  <si>
    <t xml:space="preserve">B01  vb082 </t>
  </si>
  <si>
    <t>2M+ 4  VB048  + 2 JC  VB049</t>
  </si>
  <si>
    <t>SA259469A VB003</t>
  </si>
  <si>
    <t>2M + 4VB018  +2  JC  VB019</t>
  </si>
  <si>
    <t xml:space="preserve">B0285 VB033 </t>
  </si>
  <si>
    <t>1EK002+4EK003+19W</t>
  </si>
  <si>
    <t>2JC M + 3 VB49+ 3VB049, 2M+6JC VB049</t>
  </si>
  <si>
    <t>BC03  VB090</t>
  </si>
  <si>
    <t>3BCSW VE010+ 2W+ 3 VB018, 2M +2VB018 + 3 VB019+1 JC VB049</t>
  </si>
  <si>
    <t>SO251216AAA  VB001</t>
  </si>
  <si>
    <t>4M +4 JC VB048</t>
  </si>
  <si>
    <t>B03(D) vb012</t>
  </si>
  <si>
    <t>2M +4  UVD 11457+1JC VB019 + 1 JC VB048</t>
  </si>
  <si>
    <t>BC03 vb093</t>
  </si>
  <si>
    <t>2BCSW VE010+  6 VB018, 2M +6 VB018</t>
  </si>
  <si>
    <t>SA259559AERT50/C25/R25-U VA001  1CA  16/8 KT</t>
  </si>
  <si>
    <t>BPM11B  VA008   2T  17/8  10*16</t>
  </si>
  <si>
    <t>B0284(OCR)  VA009  2T  17/8  14*16</t>
  </si>
  <si>
    <t>B0284  VA035  1.5T  17/8 6*10</t>
  </si>
  <si>
    <t>BPM(50)1067  VA004  1CA  16/8  0*4</t>
  </si>
  <si>
    <t>BUM009AERC30-AA VA016  8T 20/8</t>
  </si>
  <si>
    <t>B06B(OCR) va002  1ca  17/8</t>
  </si>
  <si>
    <t>B2708 VB001  1CA  18/8</t>
  </si>
  <si>
    <t>B1069(OCR) VA015  2CA  18/8</t>
  </si>
  <si>
    <t>B04B(AA) VA120 4T  19/8   35*46  kt</t>
  </si>
  <si>
    <r>
      <t xml:space="preserve">B1123  VA020 </t>
    </r>
    <r>
      <rPr>
        <b/>
        <sz val="13"/>
        <color rgb="FFFF0000"/>
        <rFont val="Times New Roman"/>
        <family val="1"/>
      </rPr>
      <t>15 BÚP</t>
    </r>
    <r>
      <rPr>
        <b/>
        <sz val="13"/>
        <color theme="1"/>
        <rFont val="Times New Roman"/>
        <family val="1"/>
      </rPr>
      <t xml:space="preserve">  2T  20/8   9*15</t>
    </r>
  </si>
  <si>
    <t>B1068  VA143  1T  27/8.31/8 kt</t>
  </si>
  <si>
    <t>B1115 VA017  2CA  19/8 kt</t>
  </si>
  <si>
    <t>B2621(C60/ETB40) vb008  2ca  20/8 kt</t>
  </si>
  <si>
    <t>B01  vb082  3T  18/8-20/8  5*23 kt</t>
  </si>
  <si>
    <t>BSA3871ABPM20 VB026  1CA  19/8kt</t>
  </si>
  <si>
    <t>B2874  VB004   1T  19/8 kt</t>
  </si>
  <si>
    <t>B03(D) vb012  5.5T  23/8  15*31 kt</t>
  </si>
  <si>
    <t>B2366 VB081  1T  20/8  kt</t>
  </si>
  <si>
    <t>BC03 vb093   2T  18/8  14*16</t>
  </si>
  <si>
    <t>B1NP001(C60/ETB40)  VB001  1CA  17/8 kt</t>
  </si>
  <si>
    <t>SA259469A VB003  1.5T  20/8 kt</t>
  </si>
  <si>
    <t>B06B  VA072  4T  18/8  29*31</t>
  </si>
  <si>
    <t>SO206427I  VB040</t>
  </si>
  <si>
    <t>BCVC0208  VB056</t>
  </si>
  <si>
    <t>2M+ 3 POLY 102-2+ 3 JC VB049</t>
  </si>
  <si>
    <t>5M  +3 JC VB048</t>
  </si>
  <si>
    <t>B0281 VB089 1CA  19/8</t>
  </si>
  <si>
    <t>B1124 VA028  12T  20/8 kt</t>
  </si>
  <si>
    <r>
      <rPr>
        <b/>
        <sz val="13"/>
        <color rgb="FFFF0000"/>
        <rFont val="Times New Roman"/>
        <family val="1"/>
      </rPr>
      <t xml:space="preserve">B1123  VA020 </t>
    </r>
    <r>
      <rPr>
        <b/>
        <sz val="13"/>
        <color theme="1"/>
        <rFont val="Times New Roman"/>
        <family val="1"/>
      </rPr>
      <t>16 BÚP   2T  20/8  13*16+4</t>
    </r>
  </si>
  <si>
    <t>BPM0210 VB034  2T  18/8  15*16 kt</t>
  </si>
  <si>
    <t>BM(M)0278(BPM) vb007  2T  21/8 22*23</t>
  </si>
  <si>
    <t>BCVC2347  VB043  3T  21/8  22*23</t>
  </si>
  <si>
    <t>B2621  VB090  1CA 20/8 kt</t>
  </si>
  <si>
    <t>B2561(OCN) VB005  2CA  20/8  kt</t>
  </si>
  <si>
    <t>SGR92083B(S) VB174  1CA  19/8 kt</t>
  </si>
  <si>
    <t>B0285 VB033  3T  20/8 20*23</t>
  </si>
  <si>
    <t>BC03  VB090  30T  17/8-12/9</t>
  </si>
  <si>
    <t>B1124 VA028  12T  21/8 kt</t>
  </si>
  <si>
    <t>SA191068BOCR-U VA013  1.5T  20/8  9*10</t>
  </si>
  <si>
    <t>SO206427I VB040  1T  22/8 kt</t>
  </si>
  <si>
    <t>B06G(FH18)(BOC20-AA) VB022  12T 12/8 -20/8 kt</t>
  </si>
  <si>
    <t>B1NP013  vb001  1ca  22/8</t>
  </si>
  <si>
    <t>BM0284   VA021  2.5T  20/8  15*16 kt</t>
  </si>
  <si>
    <t>B0423 VA034  2CA  3/9 2*4  kt</t>
  </si>
  <si>
    <t>SGR82938A(BOC10-U)  VA025  3T  22/8   17*23 kt</t>
  </si>
  <si>
    <t>BCVC0208  vb056 1.5T  23/8 7*8+3  kt</t>
  </si>
  <si>
    <t>BTC0210  VB004  2CA  21/8  2*3 kt</t>
  </si>
  <si>
    <t>B2621  vb089  2ca  20/8  2*3 kt</t>
  </si>
  <si>
    <t>SO251216AAA  VB001  7T   18/8-20/8 kt</t>
  </si>
  <si>
    <t>SO251216AAA  VB001  7T   18/8-21/8 kt</t>
  </si>
  <si>
    <t>BC02(OCR) vb016  1ca  23/8 kt</t>
  </si>
  <si>
    <t>BM(100)2622  VB002  1T  23/8  1*9</t>
  </si>
  <si>
    <t>BC02 VB123  40T   11/8 -14/9</t>
  </si>
  <si>
    <t>BC03  VB094  6T 25/8</t>
  </si>
  <si>
    <t>B12B(OCN) va006 2ca 24/8 kt</t>
  </si>
  <si>
    <t>B11B(OCN80/ERT20) va002  2ca  22/8 1*4</t>
  </si>
  <si>
    <t>B1020  va060  1T  22/8  4*7 kt</t>
  </si>
  <si>
    <t>BM(M)07B(BPM) VA010  3T   22/8    23*26 kt</t>
  </si>
  <si>
    <t>B0209(C60/ERT40)  vb002  1.5T  21/8  15*16 kt</t>
  </si>
  <si>
    <t>B0201 vb025  2ca  23/8 kt</t>
  </si>
  <si>
    <t>SA155427K  vb019  1T  21/8  6*8 kt</t>
  </si>
  <si>
    <t>BC03 VB092US  4T 23/8 24*31 kt</t>
  </si>
  <si>
    <t>B0294(ERT70/R30-AA) vb001  1ca  24/8 kt</t>
  </si>
  <si>
    <t>đổi cự ly  10</t>
  </si>
  <si>
    <t>B2347(RE100) VB002  1CA  23/8</t>
  </si>
  <si>
    <t>SO259431ABM100-AA vb001  1ca  24/8</t>
  </si>
  <si>
    <t>B0212 VB057  2CA  24/8</t>
  </si>
  <si>
    <t>BCVC06B  VA029  1.5T  23/8  6*7</t>
  </si>
  <si>
    <t>B1124(C60/ETB40) VA030 1CA  23/8</t>
  </si>
  <si>
    <t>BPM(50)2214 VB011  2CA  23/8  0*3</t>
  </si>
  <si>
    <t>B0281  vb088  1T   24/8 1*8 kt</t>
  </si>
  <si>
    <t>BC04(D) VB006  1T 23/8 7*8</t>
  </si>
  <si>
    <t>B05  VB082  10T  20/8-24/8 kt</t>
  </si>
  <si>
    <t>BPM(20)0209  vb002  1ca  24/8 kt</t>
  </si>
  <si>
    <t>yang</t>
  </si>
  <si>
    <t>BM(100M)04B(AA)  VA018  5T   23/8  28*31 KT</t>
  </si>
  <si>
    <t>BPM1069  VA103  2CA  24/8  1*4</t>
  </si>
  <si>
    <t>SR215328ABPM20-U va010  1ca  23/8 KT</t>
  </si>
  <si>
    <t>B1067  VA149 SỢI A  7T  22/8 cơ KT</t>
  </si>
  <si>
    <t>B06B  VA074  3T 23/8 KT</t>
  </si>
  <si>
    <t>B1062  VA027  2CA  24/8 3*4</t>
  </si>
  <si>
    <t>BTC12B  VA061  1CA  23/8 KT</t>
  </si>
  <si>
    <t>SA170299A(BM100-AA-U)  VA010  1CA  24/8</t>
  </si>
  <si>
    <t>BPM11B VA009  1CA  24/8</t>
  </si>
  <si>
    <t>BCVC04B  VA088   2CA  25/8</t>
  </si>
  <si>
    <t>B1068  VA144   2CA  25/8</t>
  </si>
  <si>
    <t>SO259432ABM100-AA vb001  1ca  24/8 kt</t>
  </si>
  <si>
    <t>BTC0285 VB029  2CA  25/8</t>
  </si>
  <si>
    <t>BC02(OCR) VB017  1CA  26/8</t>
  </si>
  <si>
    <t>BS1004 VA209  1CA  24/8</t>
  </si>
  <si>
    <t>BM(M)C03(BPM)  VB001  1CA  7/9 kt</t>
  </si>
  <si>
    <t>BPM2299KC VB003  1CA  8/9 cự ly 13 kt</t>
  </si>
  <si>
    <t>B0281 vb090  2ca  27/8 kt</t>
  </si>
  <si>
    <t>B2781(OCN)  vb001  1ca  25/8 kt</t>
  </si>
  <si>
    <t>B2651  VB004  1T  24/8 3*8 kt</t>
  </si>
  <si>
    <t>B2282(OCR) VB005  2T  23/8 15*16 kt</t>
  </si>
  <si>
    <t>B2866  VB015  2CA 24/8 kt</t>
  </si>
  <si>
    <t>B2881(ETB67/RE33)  vb001  1ca  24/8 kt</t>
  </si>
  <si>
    <t>BUM051AER30-AA-U VA016  14T   17/8-26/8 kt</t>
  </si>
  <si>
    <t>BUM051AER30-AA-U VA016  14T   17/8-27/8 kt</t>
  </si>
  <si>
    <t>SA170299A(OCR-U)  VA007  1T  25/8 0*7 kt</t>
  </si>
  <si>
    <t>B12B  va153  1.5T  25/8 8*10</t>
  </si>
  <si>
    <t>B1067  VA149 SỢI B  2T    27/8  6*12+0*1</t>
  </si>
  <si>
    <t>BUM009AERC30-AA VA017  9T 28/8</t>
  </si>
  <si>
    <t>B0202 vb035  2vca  27/8</t>
  </si>
  <si>
    <t>BM1124 VA004  1CA  29/8</t>
  </si>
  <si>
    <t>B0278  vb085  2T  26/8 10*16 kt</t>
  </si>
  <si>
    <t>B2347(C60/ETB40) vb021  1ca  26/8 kt</t>
  </si>
  <si>
    <t>SGR92083B  VB175  2CA  27/8 0*3</t>
  </si>
  <si>
    <t>SGR92083B(AA) VB176 1CA 27/8 kt</t>
  </si>
  <si>
    <t>SO152767C(XY)  VB075  sợi X  3T 26/8 7*11 kt</t>
  </si>
  <si>
    <t>BUM051AER30-AA-U VA016  14T   17/8-28/8 kt</t>
  </si>
  <si>
    <t>SGR82938A(BOC10-U) VA026  1CA 26/8 kt</t>
  </si>
  <si>
    <t>SA259548AU  VA002  3T  29/8 15*16+7</t>
  </si>
  <si>
    <t>B06B(OCR) VA003  1.5T  25/8 5*7 kt</t>
  </si>
  <si>
    <t>B2561(OCN)  vb006  1ca  29/8</t>
  </si>
  <si>
    <t>BC03  VB090  6/9</t>
  </si>
  <si>
    <t>SA192462ABTE100LF-U VB002  3T  28/8   20*23</t>
  </si>
  <si>
    <t>SA192462ABTE100LF-U VA003  1CA  28/8 kt</t>
  </si>
  <si>
    <t>BSB4047BERT50/C25/R25ETERAAU  VA006 2CA  29/8</t>
  </si>
  <si>
    <t>BM(B)0208  VB001  3T  28/8  11*16</t>
  </si>
  <si>
    <t>SO229159ABMB vb001  1T  26/8 7*8 kt</t>
  </si>
  <si>
    <t>B0285(OCR) VB002  1CA  27/8</t>
  </si>
  <si>
    <t>B0285(BPM50/OCR50)  vb004  1T 28/8 4*8</t>
  </si>
  <si>
    <t>SGR92083B VB177  2CA  28/8 kt</t>
  </si>
  <si>
    <t>BMC01  VB003   1T   27/8  0*3  kt</t>
  </si>
  <si>
    <r>
      <rPr>
        <b/>
        <sz val="13"/>
        <color rgb="FFFF0000"/>
        <rFont val="Times New Roman"/>
        <family val="1"/>
      </rPr>
      <t>B</t>
    </r>
    <r>
      <rPr>
        <b/>
        <sz val="13"/>
        <color theme="1"/>
        <rFont val="Times New Roman"/>
        <family val="1"/>
      </rPr>
      <t>1124 VA030  2.5T  28/8  10*16</t>
    </r>
  </si>
  <si>
    <t>BM(70M)1068(AA) VA006 phụ 0#  5/9</t>
  </si>
  <si>
    <t>B01  VB083  1.5T 28/8 11*16</t>
  </si>
  <si>
    <t>B01 VB084  1CA 29/8</t>
  </si>
  <si>
    <t>SO06093D(BPM20) VB005  1CA 29/8</t>
  </si>
  <si>
    <t>B0284 VA036  1.5T  29/8 14*16+4</t>
  </si>
  <si>
    <t>B1019  va129  2ca 29/8 kt</t>
  </si>
  <si>
    <t>BUM009AERC30-AA VA017  9T 29/8 kt</t>
  </si>
  <si>
    <t>B0201 vb026  2ca  27/8 0*3 kt</t>
  </si>
  <si>
    <t>B0281 VB091  2CA  29/8  0*3</t>
  </si>
  <si>
    <t>B0210 vb143  1ca   30/8 kt</t>
  </si>
  <si>
    <t>BFC08-130  VB032  SỢI X- XY  2CA 27/8 kt</t>
  </si>
  <si>
    <t>B2NO019(OCR) vb007  2ca  28/8 1*8 kt</t>
  </si>
  <si>
    <t>B1004P(EA30)  VA020 1T  28/8  3*4</t>
  </si>
  <si>
    <t>B1004  VA210  1CA  29/8</t>
  </si>
  <si>
    <t>BM(100)2782 VB001  2CA  30/8</t>
  </si>
  <si>
    <t>B1124(ERT65/C35) VA001  1CA  29/8</t>
  </si>
  <si>
    <t>SA170299A(CVC-U) VA035  2CA  30/8</t>
  </si>
  <si>
    <t>BPM(50)1069 va004  1ca  31/8</t>
  </si>
  <si>
    <r>
      <rPr>
        <b/>
        <sz val="16"/>
        <color rgb="FFFF0000"/>
        <rFont val="Times New Roman"/>
        <family val="1"/>
      </rPr>
      <t>VA123</t>
    </r>
    <r>
      <rPr>
        <b/>
        <sz val="16"/>
        <color theme="1"/>
        <rFont val="Times New Roman"/>
        <family val="1"/>
      </rPr>
      <t xml:space="preserve">  B04B  33T 30/8</t>
    </r>
  </si>
  <si>
    <t>BSB4041AERT50/C25/R25-EY-U VA010  sợi X -  XY    2CA  28/8 0*4</t>
  </si>
  <si>
    <t>BUM009AERC30-AA VA017  9T 29/8 KT</t>
  </si>
  <si>
    <t>BM(70M)1068(AA) VA006  13T   30/8 kt</t>
  </si>
  <si>
    <t>BCVC1067 VA025  6T 29/8 kt</t>
  </si>
  <si>
    <t>B1069(OCN80/ERT20-AA) VA003  2T  31/8  7*16</t>
  </si>
  <si>
    <t>BPL(20)1068 VA031  1CA  29/8  3*4</t>
  </si>
  <si>
    <t>BTC12B va063  1ca  29/8  1*4</t>
  </si>
  <si>
    <t>B0285(C60/ETB40) VB006  2CA  29/8 1*3 kt</t>
  </si>
  <si>
    <t>BTCC02 VB048  4.5T  29/8  15*23 +1*3 kt</t>
  </si>
  <si>
    <t>BCVC0293  VB004  1T  31/8  kt</t>
  </si>
  <si>
    <t>B0212 VB058  2CA  30/8kt</t>
  </si>
  <si>
    <t>BC03 VB095us  3T 4/9  16*23kt</t>
  </si>
  <si>
    <t>SGR61385A(OCN) VB001  1CA  30/8</t>
  </si>
  <si>
    <t>B07B  VA130  5/9</t>
  </si>
  <si>
    <t>B2F101 VB001 CNM 4.0  1CA 31/8</t>
  </si>
  <si>
    <t>B2F103 VB001 CNM 4.0  1CA 31/8</t>
  </si>
  <si>
    <t>SO152767C(XY)  VB075   XY  6T 30/8 kt</t>
  </si>
  <si>
    <t>B2651  vb005  1.5T 6/9   6*16 kt</t>
  </si>
  <si>
    <t>B0208(OCN)  VB004  1T  4/9 0*8 kt</t>
  </si>
  <si>
    <t>B0221 VB022  1CA  30/8  1*3</t>
  </si>
  <si>
    <t>BTC12B  VA062  1.5T    30/8  7*10</t>
  </si>
  <si>
    <t>B04B(AA) VA125  2CA  30/8   0*4</t>
  </si>
  <si>
    <t>BTE(100LF)1069  VB002  2T  31/8  11*16</t>
  </si>
  <si>
    <t>BPM1069   VA104    2ca  3/9 3*4</t>
  </si>
  <si>
    <t>BOC2652 VA007  1CA  3/9</t>
  </si>
  <si>
    <t>BA37L(CR20-AA-U)  VA014  1CA  3/9</t>
  </si>
  <si>
    <t>B1067(OCN)   VA018  1T  30/8  2*7</t>
  </si>
  <si>
    <t>SA170299A(U)  VA046  2CA  4/9</t>
  </si>
  <si>
    <t>B2829 VB012  1CA  30/8 1*3</t>
  </si>
  <si>
    <t>BC04(D) VB007  6T  6/9</t>
  </si>
  <si>
    <t>BM(20)2366 VB001  1CA  4/9 kt</t>
  </si>
  <si>
    <t>B2F102 VB001 CNM 4.0  1CA 31/8 kt</t>
  </si>
  <si>
    <t>B0208 vb076  1.5T 7/9  5*8</t>
  </si>
  <si>
    <t>BC03  VB090  5/9 kt</t>
  </si>
  <si>
    <t>BC03  VB090  4/9  kt</t>
  </si>
  <si>
    <t>SA259469A VB004  4T  6/9  16*23</t>
  </si>
  <si>
    <t>B01  vb085  2ca  4/9 0*3 kt</t>
  </si>
  <si>
    <t>BOC(50)1020(BPM) VA001 1CA  4/9  kt</t>
  </si>
  <si>
    <t>SA200871AC45/TE40/ER15-U VA001  1CA 4/9 kt</t>
  </si>
  <si>
    <t>B1068  VA145  1CA 4/9 kt</t>
  </si>
  <si>
    <t>BCVC0475 va005  1T  5/9  3*4</t>
  </si>
  <si>
    <t>2JCM+2 VB019+ 4 VB018</t>
  </si>
  <si>
    <t>4M+4 JC VB048</t>
  </si>
  <si>
    <t>B04B(C60/ERT40) VA010  1CA  4/9</t>
  </si>
  <si>
    <t>BC02 VB123  40T   11/8 -6/9</t>
  </si>
  <si>
    <t>BC02 VB123  40T   11/8 -7/9</t>
  </si>
  <si>
    <t>SA240274ACVC VB012  1.5T 6/9 7*8 kt</t>
  </si>
  <si>
    <t>B2F104 VB001 CNM 4.0  1CA 31/8 kt</t>
  </si>
  <si>
    <t>BCVC07B VA096  1CA  5/9 kt</t>
  </si>
  <si>
    <t>B12B VA154  1.5T  5/9    5*7</t>
  </si>
  <si>
    <t>B07B  VA130  4/9 kt</t>
  </si>
  <si>
    <t xml:space="preserve">B1069(OCN) VA067  3T  4/9 13*16 </t>
  </si>
  <si>
    <t>BM(100M)04B(AA) VA019  1CA  6/9 kt</t>
  </si>
  <si>
    <t>B07B  VA130    4/9</t>
  </si>
  <si>
    <t>BA37L(U) VA180  10T  7/9</t>
  </si>
  <si>
    <t>SA200871AU VA085  10T 8/9</t>
  </si>
  <si>
    <r>
      <t>B</t>
    </r>
    <r>
      <rPr>
        <b/>
        <sz val="13"/>
        <rFont val="Times New Roman"/>
        <family val="1"/>
      </rPr>
      <t>1069 VA226  15T 14/9</t>
    </r>
  </si>
  <si>
    <t>SGR92083B(BPM)  vb012  1ca 7/9</t>
  </si>
  <si>
    <t>B1124V(EA30)  VA007  2CA  6/9</t>
  </si>
  <si>
    <t>BNC04C VB050  1CA  6/9</t>
  </si>
  <si>
    <t>B2366 VB082  1T  10/9</t>
  </si>
  <si>
    <t>BC03 vb096  1T  5/9 2*8</t>
  </si>
  <si>
    <t>B2798 VB022UA  2CA  8/9</t>
  </si>
  <si>
    <r>
      <rPr>
        <b/>
        <sz val="16"/>
        <color rgb="FFFF0000"/>
        <rFont val="Times New Roman"/>
        <family val="1"/>
      </rPr>
      <t>VA123</t>
    </r>
    <r>
      <rPr>
        <b/>
        <sz val="16"/>
        <color theme="1"/>
        <rFont val="Times New Roman"/>
        <family val="1"/>
      </rPr>
      <t xml:space="preserve">  B04B  33T 5/9  kt</t>
    </r>
  </si>
  <si>
    <t>BPM(50)1068 VA011  1CA  7/9 kt</t>
  </si>
  <si>
    <t>B1069 VA227 1CA  7/9 kt</t>
  </si>
  <si>
    <t>BOC(90)C03  VB004  2CA  7/9 kt</t>
  </si>
  <si>
    <t>BM(100M)C03  VB002  1CA  6/9 0*3</t>
  </si>
  <si>
    <t>B0210  VB142  1T  6/9  kt</t>
  </si>
  <si>
    <r>
      <t xml:space="preserve">SGR41667A(CVC20-XY) VB048  </t>
    </r>
    <r>
      <rPr>
        <sz val="15"/>
        <color rgb="FFFF0000"/>
        <rFont val="Times New Roman"/>
        <family val="1"/>
      </rPr>
      <t>SỢI X</t>
    </r>
    <r>
      <rPr>
        <sz val="15"/>
        <color theme="1"/>
        <rFont val="Times New Roman"/>
        <family val="1"/>
      </rPr>
      <t xml:space="preserve">  1T  5/9  2*3 kt</t>
    </r>
  </si>
  <si>
    <t>B1020 VAB061  2CA  7/9</t>
  </si>
  <si>
    <t>B07B(RE100-AA) VA002  1CA 6/9</t>
  </si>
  <si>
    <t>BM1068(AA) VA003  9T  9/9</t>
  </si>
  <si>
    <t>B0281 vb093  2T   5/9  15*16</t>
  </si>
  <si>
    <t>BC02 VB123  40T   11/8 -6/9 kt</t>
  </si>
  <si>
    <t>B2782(OCN) VB004  1T  8/9 0*8</t>
  </si>
  <si>
    <r>
      <rPr>
        <b/>
        <sz val="15"/>
        <color rgb="FFFF0000"/>
        <rFont val="Times New Roman"/>
        <family val="1"/>
      </rPr>
      <t>B</t>
    </r>
    <r>
      <rPr>
        <b/>
        <sz val="15"/>
        <color theme="1"/>
        <rFont val="Times New Roman"/>
        <family val="1"/>
      </rPr>
      <t>05  VB083  13T  31/8-7/9 kt</t>
    </r>
  </si>
  <si>
    <t>BCVC2748 VB001  2CA  7/9 1*3</t>
  </si>
  <si>
    <t>BPM2366 VB010  2CA  6/9 0*3 kt</t>
  </si>
  <si>
    <t>B0210(AA)   VB144  1T  7/9 10*16</t>
  </si>
  <si>
    <t>BC04 VB077 1T  8/9 0*8</t>
  </si>
  <si>
    <t>BS0278 VB087  2CA  10/9</t>
  </si>
  <si>
    <t>B1NA13(OCR)  VB001 sợi X-  XY   2CA  8/9 kt</t>
  </si>
  <si>
    <t>BOC2282 VB003  1CA  9/9 kt</t>
  </si>
  <si>
    <r>
      <t xml:space="preserve">SA248530ABM100-U VA002 </t>
    </r>
    <r>
      <rPr>
        <sz val="13"/>
        <color rgb="FFFF0000"/>
        <rFont val="Times New Roman"/>
        <family val="1"/>
      </rPr>
      <t>20 BÚP</t>
    </r>
    <r>
      <rPr>
        <sz val="13"/>
        <rFont val="Times New Roman"/>
        <family val="1"/>
      </rPr>
      <t xml:space="preserve">  4T  8/9 15*20</t>
    </r>
  </si>
  <si>
    <t>B0284 va037  4T  8/9  11*23</t>
  </si>
  <si>
    <t>B09B  va112US 2T  8/9  3*16</t>
  </si>
  <si>
    <t>SA259013BCVC-U  VA004  1T  6/9 6*7 kt</t>
  </si>
  <si>
    <t>BCVC(5)1068 VA020  1T 5/9 5*7 kt</t>
  </si>
  <si>
    <t>BPM11B VA010  2.5T  8/9  11*16</t>
  </si>
  <si>
    <t>SGR92083B(BPM20)  VB036  2CA  8/9</t>
  </si>
  <si>
    <t>B0208  VB077US   1CA  9/9</t>
  </si>
  <si>
    <t>B2781(OCR) VB003  2CA  8/9</t>
  </si>
  <si>
    <t>5#</t>
  </si>
  <si>
    <t>BMC01  VB004  2CA  7/9 2*3</t>
  </si>
  <si>
    <r>
      <t xml:space="preserve">SA248530ABM100-U VA002 </t>
    </r>
    <r>
      <rPr>
        <sz val="13"/>
        <rFont val="Times New Roman"/>
        <family val="1"/>
      </rPr>
      <t>19 BÚP</t>
    </r>
    <r>
      <rPr>
        <sz val="13"/>
        <color rgb="FFFF0000"/>
        <rFont val="Times New Roman"/>
        <family val="1"/>
      </rPr>
      <t xml:space="preserve"> 4T  7/9   18*19+4</t>
    </r>
  </si>
  <si>
    <t>B1114  VA024  2CA  6/9  1*4</t>
  </si>
  <si>
    <t>B0284 va038  2ca  10/9</t>
  </si>
  <si>
    <t>B1062 VA028  1CA  8/9  2*4</t>
  </si>
  <si>
    <t>B02B VA140  3T  9/9    9*23  kt</t>
  </si>
  <si>
    <t>BA37L(C60/ERT40-AA-U) va016  2ca 7/9 1*4 kt</t>
  </si>
  <si>
    <t>B09B(OCN) VA006  10 búp  1.5T  9/9 5*12</t>
  </si>
  <si>
    <t>SO259561A VB002  2CA  11/9  kt</t>
  </si>
  <si>
    <t>BPM2212 VB006  2CA  8/9 kt</t>
  </si>
  <si>
    <t>BOC(50)2653(BPM) VB001  1CA  9/9 kt</t>
  </si>
  <si>
    <t>BCVC0208 VB057  2T  11/9 kt</t>
  </si>
  <si>
    <r>
      <t xml:space="preserve">SGR41667A(CVC20-XY) VB048    </t>
    </r>
    <r>
      <rPr>
        <sz val="15"/>
        <color rgb="FFFF0000"/>
        <rFont val="Times New Roman"/>
        <family val="1"/>
      </rPr>
      <t>XY</t>
    </r>
    <r>
      <rPr>
        <sz val="15"/>
        <color theme="1"/>
        <rFont val="Times New Roman"/>
        <family val="1"/>
      </rPr>
      <t xml:space="preserve">  4T  10/9 22*23</t>
    </r>
  </si>
  <si>
    <t>B0209 VB046  1T  11/9  kt</t>
  </si>
  <si>
    <t>BCR(30)2214A VB031  1T  12/9</t>
  </si>
  <si>
    <t>BCVC0212 VB008  1CA  10/9</t>
  </si>
  <si>
    <t>B05  VB084  1CA  9/9</t>
  </si>
  <si>
    <t>BFC13-03 VB003  1CA  9/9</t>
  </si>
  <si>
    <t>B0201  VB027  1T  9/9 5*8</t>
  </si>
  <si>
    <r>
      <t>SA259428AU VA004  12T</t>
    </r>
    <r>
      <rPr>
        <sz val="13"/>
        <color rgb="FFFF0000"/>
        <rFont val="Times New Roman"/>
        <family val="1"/>
      </rPr>
      <t xml:space="preserve">  12/9</t>
    </r>
  </si>
  <si>
    <r>
      <t xml:space="preserve">SA259428AU VA004  12T  </t>
    </r>
    <r>
      <rPr>
        <sz val="13"/>
        <color rgb="FFFF0000"/>
        <rFont val="Times New Roman"/>
        <family val="1"/>
      </rPr>
      <t>12/9</t>
    </r>
  </si>
  <si>
    <t>BM(100M)04B(AA)  VA020  2CA 10/9</t>
  </si>
  <si>
    <t>B2401(GC100)  JVB003GEC  1.5T  10/9 5*8 ngừng kt luôn</t>
  </si>
  <si>
    <t>B0281 VB092UA  cúi nhẹ 19.75g (19.60-19.90g)</t>
  </si>
  <si>
    <t>tổng 19 thùng nhẹ 19.75g. 
Thay bánh răng chạy ra thô 7.0g</t>
  </si>
  <si>
    <t xml:space="preserve">phối thêm ghép vô dùng chạy đủ đơn </t>
  </si>
  <si>
    <t>BPM04B VA009  1T  9/9  6*7</t>
  </si>
  <si>
    <t>B09B(OCN) VA006  13 búp  1.5T  10/9  10*11</t>
  </si>
  <si>
    <t>BM02B VA011  4T  12/9  19*23</t>
  </si>
  <si>
    <t>B2651 VB006  3T   11/9  14*23 KT</t>
  </si>
  <si>
    <t>SA259469A vb005  2ca  10/9 2*3</t>
  </si>
  <si>
    <t>SGR92083B(CR30) VB027  2CA  10/9 1*3</t>
  </si>
  <si>
    <t>BFC13-03(BM) VB003  1CA  11/9 KT</t>
  </si>
  <si>
    <t>B0281 VB092UA  2.5T 10/9  11*16 THIẾU BÙ</t>
  </si>
  <si>
    <t>BNC04C VB050  1ca  10/9 KT</t>
  </si>
  <si>
    <t>B2651 vb007  1ca  9/9 KT</t>
  </si>
  <si>
    <t>B2829 VB013  2CA  9/9  2*3</t>
  </si>
  <si>
    <t>SGR01899E VB026 1CA 10/9 KT</t>
  </si>
  <si>
    <t>SA251539ACVC-AA VB001 1CA  11/9</t>
  </si>
  <si>
    <t>BC03(OCN) VB012  2CA  11/9</t>
  </si>
  <si>
    <t>B2401(GC100)  JVB004GEC 1ca   10/9</t>
  </si>
  <si>
    <t>BA37L(CR20-AA-U) VA015  2CA  9/9 1*4</t>
  </si>
  <si>
    <t>B04B(AA) VA126  2CA  11/9</t>
  </si>
  <si>
    <t>B0422 va001 1ca  13/9</t>
  </si>
  <si>
    <t>B0459 va025  1ca  14/9</t>
  </si>
  <si>
    <t>B0281 VB094  2CA 11/9</t>
  </si>
  <si>
    <t>BFC13-03(C60/ETB40) VB009  1CA  12/9</t>
  </si>
  <si>
    <t>B01-RM vb002  1.5T  14/9  11*16 kt</t>
  </si>
  <si>
    <t>BC03(OCN60/ERT40) VB003  2CA  10/9 0*3</t>
  </si>
  <si>
    <t>BCVC0294 VB006  2CA  10/9 0*3</t>
  </si>
  <si>
    <t>B0281(OCN) VB010  1T  11/9 4*8</t>
  </si>
  <si>
    <t>B0281 VB092UA   bù  1ca 10/9 kt</t>
  </si>
  <si>
    <t xml:space="preserve"> đại tu  9/9 kt</t>
  </si>
  <si>
    <r>
      <t xml:space="preserve">BCVC103 VA022 </t>
    </r>
    <r>
      <rPr>
        <sz val="13"/>
        <color rgb="FFFF0000"/>
        <rFont val="Times New Roman"/>
        <family val="1"/>
      </rPr>
      <t>chạy trc 101.41 LB- 21 BÚP</t>
    </r>
    <r>
      <rPr>
        <sz val="13"/>
        <rFont val="Times New Roman"/>
        <family val="1"/>
      </rPr>
      <t xml:space="preserve">   3T 12/9  18*21 </t>
    </r>
  </si>
  <si>
    <t>BM1068(AA) VA004  6T  17/9</t>
  </si>
  <si>
    <t>BA37L(U) VA181  2CA  10/9 0*3</t>
  </si>
  <si>
    <t>SO41269A(U) VA053  1CA 12/9</t>
  </si>
  <si>
    <t>BCVC(50)1069 VA006  1CA  10/9 kt</t>
  </si>
  <si>
    <t>BVA004A  va028  16T  25/8-11/9 kt</t>
  </si>
  <si>
    <t>BM12B VA063 7T  14/9</t>
  </si>
  <si>
    <t>BC02 VB127  20T    11/9</t>
  </si>
  <si>
    <t>B06G(FH18)(BOC20-AA) VB023  12T 6/9-16/9</t>
  </si>
  <si>
    <t>BC03 VB098US  1CA  10/9  0*3 kt</t>
  </si>
  <si>
    <t>SO259590BC60/RE40 VB001  1CA  13/9 kt</t>
  </si>
  <si>
    <t>B2207(OCN) VB006  2CA  12/9 kt</t>
  </si>
  <si>
    <t>B2401(GC100)  JVB003GEC sợi B 1T 14/9  0*5 kt</t>
  </si>
  <si>
    <t>SO251031AERT65/RE35 VB002  7.5T  12/9 kt</t>
  </si>
  <si>
    <r>
      <t xml:space="preserve">BCVC103 VA022 </t>
    </r>
    <r>
      <rPr>
        <sz val="13"/>
        <color rgb="FFFF0000"/>
        <rFont val="Times New Roman"/>
        <family val="1"/>
      </rPr>
      <t>10 BÚP</t>
    </r>
    <r>
      <rPr>
        <sz val="13"/>
        <color theme="1"/>
        <rFont val="Times New Roman"/>
        <family val="1"/>
      </rPr>
      <t xml:space="preserve">   1.5T  12/9  9*10</t>
    </r>
  </si>
  <si>
    <t>B1004 va211  3T  13/9  9*16</t>
  </si>
  <si>
    <t>SA170299A(U) VA047  2CA  11/9  2*4</t>
  </si>
  <si>
    <t>SA201057AEY VB002  SỢI X  1CA 11/9</t>
  </si>
  <si>
    <t>SO259674BBOC50 VB001  1CA  12/9</t>
  </si>
  <si>
    <t>B2621(OCN) VB011  1.5T  12/9 5*8  kt</t>
  </si>
  <si>
    <r>
      <t xml:space="preserve">SY259526BAB  VB001 </t>
    </r>
    <r>
      <rPr>
        <sz val="15"/>
        <color rgb="FFFF0000"/>
        <rFont val="Times New Roman"/>
        <family val="1"/>
      </rPr>
      <t>sợi B- sợi A</t>
    </r>
    <r>
      <rPr>
        <sz val="15"/>
        <rFont val="Times New Roman"/>
        <family val="1"/>
      </rPr>
      <t xml:space="preserve">   1CA  13/9  kt</t>
    </r>
  </si>
  <si>
    <t>SGR92083B VB178  1T  13/9 0*8 kt</t>
  </si>
  <si>
    <t>BNC04C(CVC) VB030  1T  13/9 4*8 kt</t>
  </si>
  <si>
    <t>BCVC2347  vb044  3T  12/9  15*16 kt</t>
  </si>
  <si>
    <r>
      <t xml:space="preserve">SA201057AEY VB002  </t>
    </r>
    <r>
      <rPr>
        <sz val="15"/>
        <color rgb="FFFF0000"/>
        <rFont val="Times New Roman"/>
        <family val="1"/>
      </rPr>
      <t>XY</t>
    </r>
    <r>
      <rPr>
        <sz val="15"/>
        <rFont val="Times New Roman"/>
        <family val="1"/>
      </rPr>
      <t xml:space="preserve">  1CA  13/9 kt</t>
    </r>
  </si>
  <si>
    <t>SO259523A VB001  1CA  13/9 kt</t>
  </si>
  <si>
    <t>BSA3871ABPM20 VB027  1CA  12/9 1*3</t>
  </si>
  <si>
    <t>BTE(50)1069 VA001  1CA  13/9 kt</t>
  </si>
  <si>
    <t>B1020 VA062 1CA  12/9    0*2</t>
  </si>
  <si>
    <t>B1069  VA228  1CA  13/9</t>
  </si>
  <si>
    <t>B06B va076  2ca  12/9  2*4</t>
  </si>
  <si>
    <t>SGR41668A(CVC5-U) VA038  5T  12/9 kt</t>
  </si>
  <si>
    <t>B1025 VA021  1CA  21/9 kt</t>
  </si>
  <si>
    <t>B0210(OCR) VB021  2CA  15/9</t>
  </si>
  <si>
    <t>SO259673ABOC50 VB001  1CA  14/9</t>
  </si>
  <si>
    <r>
      <rPr>
        <b/>
        <sz val="13"/>
        <color rgb="FFFF0000"/>
        <rFont val="Times New Roman"/>
        <family val="1"/>
      </rPr>
      <t>B</t>
    </r>
    <r>
      <rPr>
        <b/>
        <sz val="13"/>
        <color theme="1"/>
        <rFont val="Times New Roman"/>
        <family val="1"/>
      </rPr>
      <t>1124  VA031  12T  19/9</t>
    </r>
  </si>
  <si>
    <t>B2782 VB019   2CA  13/9  6*8</t>
  </si>
  <si>
    <t>BFC13-03(C60/ETB40) VB010  1CA  13/9  kt</t>
  </si>
  <si>
    <t>B0210(OCN) VA035  1CA 13/9  kt</t>
  </si>
  <si>
    <t>B06G(FH18)(BOC20-AA) VB023  12T 6/9-15/9 kt</t>
  </si>
  <si>
    <t>SO06093D VB022 2CA  14/9 kt</t>
  </si>
  <si>
    <t>B1117(OCN)  VA001  1CA  14/9 kt</t>
  </si>
  <si>
    <t>SO249196AU VA020  2CA  14/9 kt</t>
  </si>
  <si>
    <t>BUM051AER30-AA-U VA017  1T  15/9 3*7</t>
  </si>
  <si>
    <t>B1069(OCN) VA068   3T  14/9  22*23</t>
  </si>
  <si>
    <t>B1067(OCN) VA019  1.5T  15/9  3*10</t>
  </si>
  <si>
    <t>SA248530ABM100-U VA003  4T  15/9  22*26</t>
  </si>
  <si>
    <t>B2652  VA068  11T  16/9</t>
  </si>
  <si>
    <r>
      <rPr>
        <b/>
        <sz val="13"/>
        <color rgb="FFFF0000"/>
        <rFont val="Times New Roman"/>
        <family val="1"/>
      </rPr>
      <t>B</t>
    </r>
    <r>
      <rPr>
        <b/>
        <sz val="13"/>
        <color theme="1"/>
        <rFont val="Times New Roman"/>
        <family val="1"/>
      </rPr>
      <t>1124  VA031  12T  18/9</t>
    </r>
  </si>
  <si>
    <t>B02B va141  1ca  14/9</t>
  </si>
  <si>
    <t>BNC01  vb045  2ca 15//9</t>
  </si>
  <si>
    <t>SO259657ABOC VB001  1CA 15/9</t>
  </si>
  <si>
    <t>SO259658ABOC VB001  1CA 15/9</t>
  </si>
  <si>
    <t>SO259659ABOC VB001  1CA 16/9</t>
  </si>
  <si>
    <t>B1F040  VB001  CNM 4.0 1CA  12/9</t>
  </si>
  <si>
    <t>B1F039  VB001  CNM 4.0 1CA  12/9 kt</t>
  </si>
  <si>
    <t>B1F037  VB001 CNM 4.0  1CA 13/9 0*3</t>
  </si>
  <si>
    <t>B1F038  VB001  CNM 4.0 1CA  14/9</t>
  </si>
  <si>
    <t>B3F021 VB001 CNM 4.0  1CA 11/9</t>
  </si>
  <si>
    <t>B3F022 VB001  CNM 4.0 1CA 11/9</t>
  </si>
  <si>
    <t>B3F023 VB001 CNM 4.0 1CA 12/9</t>
  </si>
  <si>
    <t>B3F024 VB001 CNM 4.0  1CA 12/9 kt</t>
  </si>
  <si>
    <t>BM1124  VA005  8T 18/9</t>
  </si>
  <si>
    <t>SA200871AU  VA086  13T  23/9</t>
  </si>
  <si>
    <t>SGR82938A(BOC10-U) VA027  4.5T 16/9  26*31 +8 kt</t>
  </si>
  <si>
    <t>thiết bị tiểu tu  14/9  kt</t>
  </si>
  <si>
    <t xml:space="preserve">B1123 VA021 11T  14/9 </t>
  </si>
  <si>
    <t>BPM(30)1068 VA001  1CA  16/9 kt</t>
  </si>
  <si>
    <t>BM0212  VB011  1CA  14/9</t>
  </si>
  <si>
    <t>SO229159ABMB VB002US  1T  15/9  0*8 ngừng KT</t>
  </si>
  <si>
    <t>SO259675ABOC50 VB001  1CA  16/9 KT</t>
  </si>
  <si>
    <t>BPM0214KC vb001  2ca  15/9  0*3</t>
  </si>
  <si>
    <t>B1FP028  VB001  CNM 4.0  1CA  16/9 KT</t>
  </si>
  <si>
    <t>B0214(GC100)  vb002  2ca  16/9 KT</t>
  </si>
  <si>
    <t>BC02  VB131UA  1.5T  16/9  11*16</t>
  </si>
  <si>
    <t>B2366 VB083  2CA 15/9 0*8 KT</t>
  </si>
  <si>
    <t>SO251216A VB002  13T 7/9-16/9 KT</t>
  </si>
  <si>
    <t>SO251216A VB002  13T   9/9-17/9 KT</t>
  </si>
  <si>
    <t>SO06093D(BPM20) VB006  2T  15/9   14*16</t>
  </si>
  <si>
    <t>B2347(RE100) VB003  2.5T  16/9  4*17  KT</t>
  </si>
  <si>
    <t>BCR(50)04B VA002  1CA  18/9</t>
  </si>
  <si>
    <t>BVO004B  VB003  1CA  16/9</t>
  </si>
  <si>
    <t>BPM(20)0209 VB003  7.5T 15/9  -  21/9</t>
  </si>
  <si>
    <t>B07B(OCR) VA001  3T  16/9  3*16 KT</t>
  </si>
  <si>
    <t>B1052  va147  1ca  19/9</t>
  </si>
  <si>
    <r>
      <t>B</t>
    </r>
    <r>
      <rPr>
        <b/>
        <sz val="13"/>
        <rFont val="Times New Roman"/>
        <family val="1"/>
      </rPr>
      <t>1069 VA226  15T 16/9</t>
    </r>
  </si>
  <si>
    <t>SA200871AC60/ERT40-U VA025  10T  17/9</t>
  </si>
  <si>
    <t>BM1124  VA005  4T 17/9 kt</t>
  </si>
  <si>
    <t>BM(B)0284 VA001  1.5T  18/9 8*16</t>
  </si>
  <si>
    <t>B1067 va150   3.5T   17/9  13*23 kt</t>
  </si>
  <si>
    <t>SA200871AC60/ERT40-U VA025  7T  16/9 kt</t>
  </si>
  <si>
    <t>BPM11B VA011 2T  18/9  12*16</t>
  </si>
  <si>
    <t>BCVC04B VA089  1.5T  17/9  15*17 +4</t>
  </si>
  <si>
    <t>B1123 va022  2T  17/9  15*16</t>
  </si>
  <si>
    <t>SO259577ABM100M VB001  2CA  17/9 kt</t>
  </si>
  <si>
    <t>SO259590BC60/RE40 VB002  1CA  16/9 kt</t>
  </si>
  <si>
    <t>BTCC02  VB049  2T  16/9  11*16 kt</t>
  </si>
  <si>
    <t>BC04 VB078  1CA  17/9 kt</t>
  </si>
  <si>
    <t>B2789 vb018  1ca  17/9 kt</t>
  </si>
  <si>
    <t>B0210  VB145  2CA  16/9  1*3</t>
  </si>
  <si>
    <t>BC03  VB097 12T   20/9</t>
  </si>
  <si>
    <t>BPM(50)1067 VA005 2CA 20/9</t>
  </si>
  <si>
    <t>SO259523ACVC-AA VB001  1CA 17/9 kt</t>
  </si>
  <si>
    <t>B0278  VB088   1T  18/9  0*8 kt</t>
  </si>
  <si>
    <t>BM02B  VA012  1T  18/9 4*7</t>
  </si>
  <si>
    <t>SO41269A(BPM20-U) VA027  1T  18/9  3*8 kt</t>
  </si>
  <si>
    <t>BTC12B VA064  2CA  19/9 kt</t>
  </si>
  <si>
    <t>BPM(20)06B VA001  2CA 18/9 kt</t>
  </si>
  <si>
    <t>B0284 va039  2ca  18/9 kt</t>
  </si>
  <si>
    <t>BM(100)1062 va002  1ca  17/9  0*4</t>
  </si>
  <si>
    <r>
      <t xml:space="preserve">BC03  VB097  13T </t>
    </r>
    <r>
      <rPr>
        <b/>
        <sz val="15"/>
        <color rgb="FFFF0000"/>
        <rFont val="Times New Roman"/>
        <family val="1"/>
      </rPr>
      <t xml:space="preserve"> chạy trc 200 L</t>
    </r>
    <r>
      <rPr>
        <b/>
        <sz val="15"/>
        <rFont val="Times New Roman"/>
        <family val="1"/>
      </rPr>
      <t>B - 14/9-19/9 kt</t>
    </r>
  </si>
  <si>
    <t>SGR92083B  VB179  1CA  18/9 kt</t>
  </si>
  <si>
    <t>B0208  vb079  2ca  17/9 2*3 kt</t>
  </si>
  <si>
    <t>BC03  VB099US  1T  19/9 1*8  kt</t>
  </si>
  <si>
    <t>B2385 VB031  1T  19/9 2*8 kt</t>
  </si>
  <si>
    <t>SV239206AAG3G-U VA001  1CA  17/9  1*4  kt</t>
  </si>
  <si>
    <t>B1020  va063  1ca 20/9 kt</t>
  </si>
  <si>
    <t>BPM1069 VA105  2CA  19/9   2*4 kt</t>
  </si>
  <si>
    <t>BCVC12B  VA077  2T  20/9  10*16</t>
  </si>
  <si>
    <t>B07B(C60/ETB40) VA011 1CA 18/9 kt</t>
  </si>
  <si>
    <t>BM(50)1068(AA) VA002  1CA 21/9</t>
  </si>
  <si>
    <t>BPM(20)0209 VB003  7.5T 15/9  -  19/9</t>
  </si>
  <si>
    <t>SO259668ABOC50 vb001  1ca 11/9</t>
  </si>
  <si>
    <r>
      <t xml:space="preserve">SA200871AU  </t>
    </r>
    <r>
      <rPr>
        <sz val="13"/>
        <color rgb="FFFF0000"/>
        <rFont val="Times New Roman"/>
        <family val="1"/>
      </rPr>
      <t>VA087</t>
    </r>
    <r>
      <rPr>
        <sz val="13"/>
        <rFont val="Times New Roman"/>
        <family val="1"/>
      </rPr>
      <t xml:space="preserve">  12T  23/9</t>
    </r>
  </si>
  <si>
    <t>BCVC2652 va011  1ca  30/9</t>
  </si>
  <si>
    <t>BA37L(U) VA182  4T 18/9  22*23 KT</t>
  </si>
  <si>
    <t>B05(OCN) VB015  2CA  20/9  0*3</t>
  </si>
  <si>
    <t>BFC08-130 VB033 SỢI X-XY   1.5T  21/9  1*8</t>
  </si>
  <si>
    <t>BOC0214  vb006 1ca  21/9 kt</t>
  </si>
  <si>
    <t>SO259523A  vb003  1ca  20/9  0*3</t>
  </si>
  <si>
    <t>BFC08-130 VB033 SỢI X 1ca  20/9 kt</t>
  </si>
  <si>
    <t>BSB4041AERT50/C25/R25-EY-U VA011  SỢI X - XY    2CA  20/9 kt</t>
  </si>
  <si>
    <t>B1019  VA130  1CA  20/9 kt</t>
  </si>
  <si>
    <t>B07B(OCR) VA002  2T 21/9 13*16</t>
  </si>
  <si>
    <t>B06A(M50/C45/OC5-AA) VA017  2CA 20/9  0*4</t>
  </si>
  <si>
    <t>B04B(AA)  va128  1ca  20/9</t>
  </si>
  <si>
    <t>SA200871AU  VA087 22/9</t>
  </si>
  <si>
    <r>
      <t xml:space="preserve">SA200871AU  </t>
    </r>
    <r>
      <rPr>
        <sz val="13"/>
        <color rgb="FFFF0000"/>
        <rFont val="Times New Roman"/>
        <family val="1"/>
      </rPr>
      <t>VA087</t>
    </r>
    <r>
      <rPr>
        <sz val="13"/>
        <rFont val="Times New Roman"/>
        <family val="1"/>
      </rPr>
      <t xml:space="preserve">  12T  24/9</t>
    </r>
  </si>
  <si>
    <t>SA200871AU  VA086  13T  22/9</t>
  </si>
  <si>
    <t>B2294(GC100) VB002  2.5T  20/9-20/9 13*16</t>
  </si>
  <si>
    <r>
      <t xml:space="preserve">SO229159ABMB VB002US  </t>
    </r>
    <r>
      <rPr>
        <sz val="15"/>
        <color rgb="FFFF0000"/>
        <rFont val="Times New Roman"/>
        <family val="1"/>
      </rPr>
      <t xml:space="preserve"> XY 1T 20/9 4*8 KT</t>
    </r>
  </si>
  <si>
    <t>BM(45)2785 VB001  1T  17/9  6*8 kt</t>
  </si>
  <si>
    <t>SO251031AERT65/RE35  VB003  3T  21/9  17*26 kt</t>
  </si>
  <si>
    <t>SA191068BRE100-AA-U VA003  1CA  22/9</t>
  </si>
  <si>
    <t>B1FP006  VB001 CNM 4.0  1CA 22/9</t>
  </si>
  <si>
    <t>B1FP012  VB001 CNM 4.0  1CA 22/9</t>
  </si>
  <si>
    <t>B1FP009  VB001 CNM 4.0  1CA 23/9</t>
  </si>
  <si>
    <t>BC03 VB100  1CA  21/9 kt</t>
  </si>
  <si>
    <t>SA209082B VB038  2CA  22/9 kt</t>
  </si>
  <si>
    <t>B0279  VB048  CNM 4.0  1CA  22/9 kt</t>
  </si>
  <si>
    <t>B2866  VB018  2CA  22/9 0*3</t>
  </si>
  <si>
    <t>B0285 VB034  2CA  22/9 2*3</t>
  </si>
  <si>
    <t>BTM(70)C01(AA) VB002  2CA  23/9 kt</t>
  </si>
  <si>
    <t>B1124(C60/ETB40)  VA031  4T 23/9 22*23</t>
  </si>
  <si>
    <t>B1069(OCN) va069 1ca  22/9  1*4</t>
  </si>
  <si>
    <t>BM(100M)04B VA021  2CA  25/9 0*4</t>
  </si>
  <si>
    <t>B12B va155 1ca  21/9 kt</t>
  </si>
  <si>
    <t>BA37L(AA-U) VA184  1CA 21/9</t>
  </si>
  <si>
    <r>
      <rPr>
        <b/>
        <sz val="13"/>
        <color rgb="FFFF0000"/>
        <rFont val="Times New Roman"/>
        <family val="1"/>
      </rPr>
      <t>B</t>
    </r>
    <r>
      <rPr>
        <b/>
        <sz val="13"/>
        <color theme="1"/>
        <rFont val="Times New Roman"/>
        <family val="1"/>
      </rPr>
      <t>1124  VA032  8T  26/9</t>
    </r>
  </si>
  <si>
    <t>BA37M(BTE50-AA) VB001  1CA  22/9</t>
  </si>
  <si>
    <t>B0201  VB028  CNM  4.0  1CA  21/9</t>
  </si>
  <si>
    <t>SA239190A  VB007  1.5T  20/9 6*8</t>
  </si>
  <si>
    <t>B1FP013  VB001 CNM 4.0  1CA 23/9</t>
  </si>
  <si>
    <t xml:space="preserve">BSA3871ABPM20 VB028  1CA  22/9 </t>
  </si>
  <si>
    <t>B2877 VB002 1CA  23/9</t>
  </si>
  <si>
    <t>B2877V(EA20) VB001  1CA  24/9</t>
  </si>
  <si>
    <r>
      <t xml:space="preserve">B1FP017 VB017   </t>
    </r>
    <r>
      <rPr>
        <sz val="15"/>
        <color rgb="FFFF0000"/>
        <rFont val="Times New Roman"/>
        <family val="1"/>
      </rPr>
      <t>CNM 4.0</t>
    </r>
    <r>
      <rPr>
        <sz val="15"/>
        <rFont val="Times New Roman"/>
        <family val="1"/>
      </rPr>
      <t xml:space="preserve">  1CA  25/9</t>
    </r>
  </si>
  <si>
    <t>B0281(AA) VB097  2T   23/9  10*16</t>
  </si>
  <si>
    <t>ĐỔI CỰ LY 13 kt</t>
  </si>
  <si>
    <t>SA259437A VB005  2CA  24/9 kt</t>
  </si>
  <si>
    <t>B0212(C60/ETB40) VB004  1CA  21/9 0*4</t>
  </si>
  <si>
    <t>BCVC2748 VB002  1CA  23/9</t>
  </si>
  <si>
    <r>
      <t xml:space="preserve">B1FP017 VB029  </t>
    </r>
    <r>
      <rPr>
        <sz val="15"/>
        <color rgb="FFFF0000"/>
        <rFont val="Times New Roman"/>
        <family val="1"/>
      </rPr>
      <t>CNM 4.0</t>
    </r>
    <r>
      <rPr>
        <sz val="15"/>
        <rFont val="Times New Roman"/>
        <family val="1"/>
      </rPr>
      <t xml:space="preserve">  1CA  21/9  0*3</t>
    </r>
  </si>
  <si>
    <t>SGR92083B VB180  1CA  23/9</t>
  </si>
  <si>
    <t>B2561(OCN) VB007  1CA  24/9</t>
  </si>
  <si>
    <t>BOC0210(ZR)  VB001  1CA  22/9 0*3</t>
  </si>
  <si>
    <t>B0208  VB078  4T  24/9 19*23</t>
  </si>
  <si>
    <t>B2367 VB041  1.5T  26/9 14*16</t>
  </si>
  <si>
    <t>B0213(C60/ETB40) VB009  1CA  22/9 0*4</t>
  </si>
  <si>
    <t>BTRC02 vb002  1ca  23/9</t>
  </si>
  <si>
    <t>BCVC04B va090  1ca  21/9 kt</t>
  </si>
  <si>
    <t>BVA004A va030  2ca  23/9 kt</t>
  </si>
  <si>
    <t>BM12B  VA064  2T  23/9  8*16  kt</t>
  </si>
  <si>
    <t>B06B  VA075  3T 23/9   19*23 kt</t>
  </si>
  <si>
    <t>SA170299A(BM100-AA-U)  VA011  1T  24/9  6*9</t>
  </si>
  <si>
    <t>BPM11B VA012  3.5T  23/9  20*23 kt</t>
  </si>
  <si>
    <t>B2829 VB015  1T  23/9 3*8</t>
  </si>
  <si>
    <t>B0213  VB033  CNM  4.0  1CA  24/9</t>
  </si>
  <si>
    <r>
      <t xml:space="preserve">B2401 VB022  7T  1/10  </t>
    </r>
    <r>
      <rPr>
        <sz val="15"/>
        <color rgb="FFFF0000"/>
        <rFont val="Times New Roman"/>
        <family val="1"/>
      </rPr>
      <t>T.LÝ</t>
    </r>
  </si>
  <si>
    <t>B2622(OCN) vb001  1ca 23/9</t>
  </si>
  <si>
    <t>B1FP002  VB001  CNM  4.0  1CA  25/9</t>
  </si>
  <si>
    <t>B1FP003  VB001  CNM  4.0  1CA   25/9</t>
  </si>
  <si>
    <r>
      <t xml:space="preserve">SO95703B(XY) VB004 </t>
    </r>
    <r>
      <rPr>
        <sz val="15"/>
        <color rgb="FFFF0000"/>
        <rFont val="Times New Roman"/>
        <family val="1"/>
      </rPr>
      <t>SỢI X- XY</t>
    </r>
    <r>
      <rPr>
        <sz val="15"/>
        <color theme="1"/>
        <rFont val="Times New Roman"/>
        <family val="1"/>
      </rPr>
      <t xml:space="preserve">  2CA 28/9</t>
    </r>
  </si>
  <si>
    <t>B0281  VB096  10T  27/9</t>
  </si>
  <si>
    <t>B01  VB086  15T  16/9-25/9</t>
  </si>
  <si>
    <t>B01  VB086  15T  16/9-27/9</t>
  </si>
  <si>
    <r>
      <rPr>
        <b/>
        <sz val="13"/>
        <color rgb="FFFF0000"/>
        <rFont val="Times New Roman"/>
        <family val="1"/>
      </rPr>
      <t>B</t>
    </r>
    <r>
      <rPr>
        <b/>
        <sz val="13"/>
        <color theme="1"/>
        <rFont val="Times New Roman"/>
        <family val="1"/>
      </rPr>
      <t>1124  VA032  7T 24/9</t>
    </r>
  </si>
  <si>
    <t>B1019  VA130  CNM  4.0  1CA  25/9</t>
  </si>
  <si>
    <t>B1124  VA033  CNM  4.0  1CA  25/9</t>
  </si>
  <si>
    <t>B1115  VA018  CNM  4.0  1CA 26/9</t>
  </si>
  <si>
    <t>B2NO027 VB001  1CA  24/9 kt</t>
  </si>
  <si>
    <t>BPM(20)0209 VB004  1CA  24/9 kt</t>
  </si>
  <si>
    <t>B1FP008  VB001  CNM  4.0  1CA   25/9 kt</t>
  </si>
  <si>
    <t>SA251539ACVC20-AA VB001  1CA  24/9 kt</t>
  </si>
  <si>
    <t>B1004  VA212  2CA  23/9   3*4</t>
  </si>
  <si>
    <t>B11B(C60/ETB40) va011  1ca  23/9 KT</t>
  </si>
  <si>
    <t>B3NO009 VB001  1CA  23/9</t>
  </si>
  <si>
    <t>BNC04C VB051  1CA  25/9</t>
  </si>
  <si>
    <t>B0475 va020  1ca  26/9</t>
  </si>
  <si>
    <t>máy xơ bạc</t>
  </si>
  <si>
    <r>
      <t xml:space="preserve">BCVC103  VA023 </t>
    </r>
    <r>
      <rPr>
        <b/>
        <sz val="13"/>
        <color rgb="FFFF0000"/>
        <rFont val="Times New Roman"/>
        <family val="1"/>
      </rPr>
      <t xml:space="preserve"> CNM 4.0</t>
    </r>
    <r>
      <rPr>
        <b/>
        <sz val="13"/>
        <color theme="1"/>
        <rFont val="Times New Roman"/>
        <family val="1"/>
      </rPr>
      <t xml:space="preserve">  1CA  24/9</t>
    </r>
  </si>
  <si>
    <t>SA240274ACVC VB013  4T    24/9-25/9 27*31 kt</t>
  </si>
  <si>
    <t>B0213 VB034   1CA  28/9 kt</t>
  </si>
  <si>
    <t>B0208 vb080  2T  25/9 13*16</t>
  </si>
  <si>
    <t>B0209 vb047  1T  24/9  7*8</t>
  </si>
  <si>
    <t>SO259231AC60/RE40 vb004  4T 24/9-26/9 21*31</t>
  </si>
  <si>
    <t>BOC(90)C03 VB005  1CA  26/9 kt</t>
  </si>
  <si>
    <t>BM0212  VB012  1CA  25/9 kt</t>
  </si>
  <si>
    <t>B1114  VA025  CNM  4.0  1CA 26/9 kt</t>
  </si>
  <si>
    <t>B2652 va069  1ca  25/9 kt</t>
  </si>
  <si>
    <t>B1069  VA229  sợi A  3T  25/9 kt</t>
  </si>
  <si>
    <t>B1124(C60/ETB40)  VA032  5T  25/9 kt</t>
  </si>
  <si>
    <t>BA37L(U) VA183  2.5T 26/9 8*8+5*8</t>
  </si>
  <si>
    <r>
      <rPr>
        <b/>
        <sz val="13"/>
        <color rgb="FFFF0000"/>
        <rFont val="Times New Roman"/>
        <family val="1"/>
      </rPr>
      <t>B</t>
    </r>
    <r>
      <rPr>
        <b/>
        <sz val="13"/>
        <color theme="1"/>
        <rFont val="Times New Roman"/>
        <family val="1"/>
      </rPr>
      <t>1124  VA032  8T  24/9 kt</t>
    </r>
  </si>
  <si>
    <t>B8224 VA034  1CA  24/9 kt</t>
  </si>
  <si>
    <r>
      <t xml:space="preserve">BCVC104  VA023  </t>
    </r>
    <r>
      <rPr>
        <b/>
        <sz val="13"/>
        <color rgb="FFFF0000"/>
        <rFont val="Times New Roman"/>
        <family val="1"/>
      </rPr>
      <t>CNM 4.0</t>
    </r>
    <r>
      <rPr>
        <b/>
        <sz val="13"/>
        <color theme="1"/>
        <rFont val="Times New Roman"/>
        <family val="1"/>
      </rPr>
      <t xml:space="preserve">  1CA  24/9 kt</t>
    </r>
  </si>
  <si>
    <t>BM(100M)0275(AA)  va002  1T  27/9    10*17</t>
  </si>
  <si>
    <t>BUM009AERC30-AA VA018  9T  7/10</t>
  </si>
  <si>
    <t>B05 VB085  1CA  25/9</t>
  </si>
  <si>
    <t>BC03(OCR)  VB001  1CA  26/9</t>
  </si>
  <si>
    <t>B0284-RM  VA001  1CA  25/9</t>
  </si>
  <si>
    <t>VA123  B04B  2/10</t>
  </si>
  <si>
    <r>
      <t xml:space="preserve">B1FP005  JVB001  </t>
    </r>
    <r>
      <rPr>
        <sz val="15"/>
        <color rgb="FFFF0000"/>
        <rFont val="Times New Roman"/>
        <family val="1"/>
      </rPr>
      <t>CNM  4.0</t>
    </r>
    <r>
      <rPr>
        <sz val="15"/>
        <color theme="1"/>
        <rFont val="Times New Roman"/>
        <family val="1"/>
      </rPr>
      <t xml:space="preserve">  1CA 27/9</t>
    </r>
  </si>
  <si>
    <r>
      <t xml:space="preserve">B1FP001  JVB001  </t>
    </r>
    <r>
      <rPr>
        <sz val="15"/>
        <color rgb="FFFF0000"/>
        <rFont val="Times New Roman"/>
        <family val="1"/>
      </rPr>
      <t>CNM  4.0</t>
    </r>
    <r>
      <rPr>
        <sz val="15"/>
        <color theme="1"/>
        <rFont val="Times New Roman"/>
        <family val="1"/>
      </rPr>
      <t xml:space="preserve">  1CA 27/9</t>
    </r>
  </si>
  <si>
    <t>B0284  va040  1ca  25/9 kt</t>
  </si>
  <si>
    <t>B1124(C60/ETB40)  VA032  10T 26/9 kt</t>
  </si>
  <si>
    <t>B1123  VA123   2T  27/9  5*16</t>
  </si>
  <si>
    <t>SO41269A(BPM20-U) VA027  1T 25/9  chay lai 4*8 kt</t>
  </si>
  <si>
    <t>B1029P(EA30) VA025  2ca   25/9  3*4</t>
  </si>
  <si>
    <r>
      <t xml:space="preserve">B0475  VA019 </t>
    </r>
    <r>
      <rPr>
        <b/>
        <sz val="13"/>
        <color rgb="FFFF0000"/>
        <rFont val="Times New Roman"/>
        <family val="1"/>
      </rPr>
      <t>CNM 4.0</t>
    </r>
    <r>
      <rPr>
        <b/>
        <sz val="13"/>
        <rFont val="Times New Roman"/>
        <family val="1"/>
      </rPr>
      <t xml:space="preserve"> 1CA  26/9</t>
    </r>
  </si>
  <si>
    <t>BM(M)07B(BPM) va011   1ca  25/9  1*4</t>
  </si>
  <si>
    <t>BTR(30)0210 vb004  1ca  26/9 kt</t>
  </si>
  <si>
    <r>
      <t xml:space="preserve">B1FP014  JVB001  </t>
    </r>
    <r>
      <rPr>
        <sz val="15"/>
        <color rgb="FFFF0000"/>
        <rFont val="Times New Roman"/>
        <family val="1"/>
      </rPr>
      <t>CNM  4.0</t>
    </r>
    <r>
      <rPr>
        <sz val="15"/>
        <color theme="1"/>
        <rFont val="Times New Roman"/>
        <family val="1"/>
      </rPr>
      <t xml:space="preserve">  1CA 27/9 kt</t>
    </r>
  </si>
  <si>
    <t>SO241260A VB025  1CA 26/9 kt</t>
  </si>
  <si>
    <r>
      <t>SP259725ACVC10-BD-BX vb001</t>
    </r>
    <r>
      <rPr>
        <b/>
        <sz val="15"/>
        <color rgb="FFFF0000"/>
        <rFont val="Times New Roman"/>
        <family val="1"/>
      </rPr>
      <t xml:space="preserve"> CNM 4.0</t>
    </r>
    <r>
      <rPr>
        <b/>
        <sz val="15"/>
        <color theme="1"/>
        <rFont val="Times New Roman"/>
        <family val="1"/>
      </rPr>
      <t xml:space="preserve"> đoạn màu 2ca 26/9 kt</t>
    </r>
  </si>
  <si>
    <t>SA191068BOCR-U VA014  2CA  27/9</t>
  </si>
  <si>
    <r>
      <t xml:space="preserve">B2401 VB022UA-A </t>
    </r>
    <r>
      <rPr>
        <sz val="15"/>
        <color rgb="FFFF0000"/>
        <rFont val="Times New Roman"/>
        <family val="1"/>
      </rPr>
      <t>SỢI B</t>
    </r>
    <r>
      <rPr>
        <sz val="15"/>
        <rFont val="Times New Roman"/>
        <family val="1"/>
      </rPr>
      <t xml:space="preserve">    2CA   28/9</t>
    </r>
  </si>
  <si>
    <t>B2829(C60/ETB40) VB001  1CA 28/9</t>
  </si>
  <si>
    <t>BFC13-03(C60/ETB40) VB011  1CA  29/9</t>
  </si>
  <si>
    <t>B2651  vb008  1ca  28/9</t>
  </si>
  <si>
    <t>SGR92083B(BPM20)  VB037  2ca  26/9</t>
  </si>
  <si>
    <t>BC04  VB079  1CA 27/9</t>
  </si>
  <si>
    <t>SA190719A  VB023  16T  17/9-28/9</t>
  </si>
  <si>
    <t>SA190719A  VB023  16T  17/9-27/9</t>
  </si>
  <si>
    <t>B2782 vb021   2ca 26/9 0*3</t>
  </si>
  <si>
    <t>BTCC02  VB050  1.5T  27/9 4*8</t>
  </si>
  <si>
    <t xml:space="preserve">BPM03 VB008  1T 2/10  </t>
  </si>
  <si>
    <t>SA209082BOCN10 VB019  1T  26/9 4*8 kt</t>
  </si>
  <si>
    <r>
      <t xml:space="preserve">VS1302-NP(YF)  RD001  </t>
    </r>
    <r>
      <rPr>
        <b/>
        <sz val="15"/>
        <color rgb="FFFF0000"/>
        <rFont val="Times New Roman"/>
        <family val="1"/>
      </rPr>
      <t>CNM4.0</t>
    </r>
    <r>
      <rPr>
        <b/>
        <sz val="15"/>
        <color theme="1"/>
        <rFont val="Times New Roman"/>
        <family val="1"/>
      </rPr>
      <t xml:space="preserve">  1CA 27/9 kt</t>
    </r>
  </si>
  <si>
    <t>BCVC0208  VB058US 1.5T  26/9 7*8</t>
  </si>
  <si>
    <t>SGR92083B VB181  1CA  26/9 kt</t>
  </si>
  <si>
    <t>BM(B)0284  VA002  2CA  26/9 kt</t>
  </si>
  <si>
    <t>SA229142AU VA022  1T  28/9 1*8</t>
  </si>
  <si>
    <t>B1019  VA131R  1CA  26/9 kt</t>
  </si>
  <si>
    <t>BM(50)1124 va001   1ca  25/9  0*4 kt</t>
  </si>
  <si>
    <r>
      <t xml:space="preserve">B1029  VA029 </t>
    </r>
    <r>
      <rPr>
        <b/>
        <sz val="13"/>
        <color rgb="FFFF0000"/>
        <rFont val="Times New Roman"/>
        <family val="1"/>
      </rPr>
      <t>CNM 4.0</t>
    </r>
    <r>
      <rPr>
        <b/>
        <sz val="13"/>
        <rFont val="Times New Roman"/>
        <family val="1"/>
      </rPr>
      <t xml:space="preserve"> 1CA  26/9 kt</t>
    </r>
  </si>
  <si>
    <t>BR02B  va001  1ca  26/9 kt</t>
  </si>
  <si>
    <t>BM(B)0208 VB002  2T  28/9  12*17</t>
  </si>
  <si>
    <t>BC02(OCR) VB019  2CA  29/9</t>
  </si>
  <si>
    <t xml:space="preserve">BPM03 VB009  1.5T 12/10  </t>
  </si>
  <si>
    <t>B2561(OCN) vb008  2ca 27/9 1*3</t>
  </si>
  <si>
    <t>BM(50)10  VB016  1CA  28/9 kt</t>
  </si>
  <si>
    <r>
      <t xml:space="preserve">B1FP018  JVB001  </t>
    </r>
    <r>
      <rPr>
        <b/>
        <sz val="15"/>
        <color rgb="FFFF0000"/>
        <rFont val="Times New Roman"/>
        <family val="1"/>
      </rPr>
      <t>CNM  4.0</t>
    </r>
    <r>
      <rPr>
        <b/>
        <sz val="15"/>
        <color theme="1"/>
        <rFont val="Times New Roman"/>
        <family val="1"/>
      </rPr>
      <t xml:space="preserve">  1CA 27/9  0*3</t>
    </r>
  </si>
  <si>
    <r>
      <t xml:space="preserve">B1FP015  JVB001  </t>
    </r>
    <r>
      <rPr>
        <b/>
        <sz val="15"/>
        <color rgb="FFFF0000"/>
        <rFont val="Times New Roman"/>
        <family val="1"/>
      </rPr>
      <t>CNM  4.0</t>
    </r>
    <r>
      <rPr>
        <b/>
        <sz val="15"/>
        <color theme="1"/>
        <rFont val="Times New Roman"/>
        <family val="1"/>
      </rPr>
      <t xml:space="preserve">  1CA 26/9</t>
    </r>
  </si>
  <si>
    <r>
      <t xml:space="preserve">B1FP011  JVB001  </t>
    </r>
    <r>
      <rPr>
        <b/>
        <sz val="15"/>
        <color rgb="FFFF0000"/>
        <rFont val="Times New Roman"/>
        <family val="1"/>
      </rPr>
      <t>CNM  4.0</t>
    </r>
    <r>
      <rPr>
        <b/>
        <sz val="15"/>
        <color theme="1"/>
        <rFont val="Times New Roman"/>
        <family val="1"/>
      </rPr>
      <t xml:space="preserve">  1CA  26/9</t>
    </r>
  </si>
  <si>
    <r>
      <t xml:space="preserve">B2793  VB015 </t>
    </r>
    <r>
      <rPr>
        <b/>
        <sz val="15"/>
        <color rgb="FFFF0000"/>
        <rFont val="Times New Roman"/>
        <family val="1"/>
      </rPr>
      <t>CNM 4.0</t>
    </r>
    <r>
      <rPr>
        <b/>
        <sz val="15"/>
        <color theme="1"/>
        <rFont val="Times New Roman"/>
        <family val="1"/>
      </rPr>
      <t xml:space="preserve">  1CA  26/9</t>
    </r>
  </si>
  <si>
    <r>
      <t xml:space="preserve">B0283 VB047  </t>
    </r>
    <r>
      <rPr>
        <b/>
        <sz val="15"/>
        <color rgb="FFFF0000"/>
        <rFont val="Times New Roman"/>
        <family val="1"/>
      </rPr>
      <t>CNM 4.0</t>
    </r>
    <r>
      <rPr>
        <b/>
        <sz val="15"/>
        <color theme="1"/>
        <rFont val="Times New Roman"/>
        <family val="1"/>
      </rPr>
      <t xml:space="preserve">  1CA  26/9</t>
    </r>
  </si>
  <si>
    <t>B2385 VB032  1CA  26/9</t>
  </si>
  <si>
    <t>B2366  vb085  2ca  26/9</t>
  </si>
  <si>
    <r>
      <t xml:space="preserve">B1FP016  JVB001 </t>
    </r>
    <r>
      <rPr>
        <b/>
        <sz val="12"/>
        <color rgb="FFFF0000"/>
        <rFont val="Times New Roman"/>
        <family val="1"/>
      </rPr>
      <t xml:space="preserve">CNM 4.0 </t>
    </r>
    <r>
      <rPr>
        <b/>
        <sz val="12"/>
        <color theme="1"/>
        <rFont val="Times New Roman"/>
        <family val="1"/>
      </rPr>
      <t>1CA 26/9 kt</t>
    </r>
  </si>
  <si>
    <r>
      <t xml:space="preserve">B1FP010  JVB001 </t>
    </r>
    <r>
      <rPr>
        <b/>
        <sz val="12"/>
        <color rgb="FFFF0000"/>
        <rFont val="Times New Roman"/>
        <family val="1"/>
      </rPr>
      <t xml:space="preserve">CNM 4.0 </t>
    </r>
    <r>
      <rPr>
        <b/>
        <sz val="12"/>
        <color theme="1"/>
        <rFont val="Times New Roman"/>
        <family val="1"/>
      </rPr>
      <t>1CA 26/9</t>
    </r>
  </si>
  <si>
    <r>
      <t xml:space="preserve">B1FP007  JVB001 </t>
    </r>
    <r>
      <rPr>
        <b/>
        <sz val="12"/>
        <color rgb="FFFF0000"/>
        <rFont val="Times New Roman"/>
        <family val="1"/>
      </rPr>
      <t xml:space="preserve">CNM 4.0 </t>
    </r>
    <r>
      <rPr>
        <b/>
        <sz val="12"/>
        <color theme="1"/>
        <rFont val="Times New Roman"/>
        <family val="1"/>
      </rPr>
      <t>1CA 26/9</t>
    </r>
  </si>
  <si>
    <r>
      <t xml:space="preserve">B1FP004  JVB001 </t>
    </r>
    <r>
      <rPr>
        <b/>
        <sz val="12"/>
        <color rgb="FFFF0000"/>
        <rFont val="Times New Roman"/>
        <family val="1"/>
      </rPr>
      <t xml:space="preserve">CNM 4.0 </t>
    </r>
    <r>
      <rPr>
        <b/>
        <sz val="12"/>
        <color theme="1"/>
        <rFont val="Times New Roman"/>
        <family val="1"/>
      </rPr>
      <t>1CA 26/9</t>
    </r>
  </si>
  <si>
    <t>BCVC0202 VB003  1CA 5/10  kt</t>
  </si>
  <si>
    <t>SO229159ABM VB022  1CA  28/9 kt</t>
  </si>
  <si>
    <t>BM(50)1068(AA)  va003  1ca  27/9 kt</t>
  </si>
  <si>
    <t>B1067(OCN)  VA020  1T  28/9  0*7</t>
  </si>
  <si>
    <t>SA200871AU VA088  3T  29/9  7*16</t>
  </si>
  <si>
    <t>B06B  VB077  2.5T  1/10 ngừng mẫu lớn  không đạt  kt</t>
  </si>
  <si>
    <t>B1069(OCN) VA070  1CA 28/9</t>
  </si>
  <si>
    <t>B1069(OCR) VA016  2CA  29/9</t>
  </si>
  <si>
    <t>SO251216A  vb003  16T  26/9- 1/10</t>
  </si>
  <si>
    <t>SO251216A  vb003  10T   29/9-2/10</t>
  </si>
  <si>
    <t>B2561 VB023  1CA  28/9</t>
  </si>
  <si>
    <r>
      <t xml:space="preserve">B2401 VB022UA   </t>
    </r>
    <r>
      <rPr>
        <sz val="15"/>
        <color rgb="FFFF0000"/>
        <rFont val="Times New Roman"/>
        <family val="1"/>
      </rPr>
      <t xml:space="preserve"> 17 BÚP</t>
    </r>
    <r>
      <rPr>
        <sz val="15"/>
        <rFont val="Times New Roman"/>
        <family val="1"/>
      </rPr>
      <t xml:space="preserve"> 3T 30/9 2*17</t>
    </r>
  </si>
  <si>
    <t>SA190719A  VB023  16T  17/9-27/9 kt</t>
  </si>
  <si>
    <t>BC04  VB080  1T  2/10</t>
  </si>
  <si>
    <t>SA259548AU va003  7T 28/9</t>
  </si>
  <si>
    <t>B0284 VA041 1CA 29/9</t>
  </si>
  <si>
    <t>BH13(C60/ETB40) VB001  1CA  6/10 kt</t>
  </si>
  <si>
    <t>SA215376B VB027  1CA  1/10 kt</t>
  </si>
  <si>
    <t>BC02 VB136US  1CA  4/10 kt</t>
  </si>
  <si>
    <t>B2878(C50/RE50-AA) VB007  2T  29/9 15*16</t>
  </si>
  <si>
    <t>BSA3871ABPM20 VB029  2T 30/9   6*23 kt</t>
  </si>
  <si>
    <t>B2401(T65/OCN35) VB001  1T   1/10 8*9</t>
  </si>
  <si>
    <t>BM1124  va006  5T  27/9  21*23 kt</t>
  </si>
  <si>
    <t>B2659(C60/ETB40) VA001  1CA  28/9 kt</t>
  </si>
  <si>
    <r>
      <t xml:space="preserve">B1069  VA229  </t>
    </r>
    <r>
      <rPr>
        <sz val="13"/>
        <color rgb="FFFF0000"/>
        <rFont val="Times New Roman"/>
        <family val="1"/>
      </rPr>
      <t>sợi B</t>
    </r>
    <r>
      <rPr>
        <sz val="13"/>
        <color theme="1"/>
        <rFont val="Times New Roman"/>
        <family val="1"/>
      </rPr>
      <t xml:space="preserve">  2T   16 BÚP 2000m  29/9  15*16</t>
    </r>
  </si>
  <si>
    <t>B1062 VA029  1T  2/10 kt</t>
  </si>
  <si>
    <t>B0213KC VB001  1CA  30/9</t>
  </si>
  <si>
    <t>thiết bị đại tu 29/9 kt</t>
  </si>
  <si>
    <t>B1114 VA026  1CA   30/9</t>
  </si>
  <si>
    <t>BPM14B    VA004  1CA  30/9</t>
  </si>
  <si>
    <t>BC04(D)  VB008 9T 23/9-4/10</t>
  </si>
  <si>
    <r>
      <t xml:space="preserve">B2401 VB022UA    </t>
    </r>
    <r>
      <rPr>
        <sz val="15"/>
        <color rgb="FFFF0000"/>
        <rFont val="Times New Roman"/>
        <family val="1"/>
      </rPr>
      <t>20 BÚP</t>
    </r>
    <r>
      <rPr>
        <sz val="15"/>
        <rFont val="Times New Roman"/>
        <family val="1"/>
      </rPr>
      <t xml:space="preserve"> 3T 29/9  18*20 kt</t>
    </r>
  </si>
  <si>
    <t>B2878  VB008  3T  30/9  15*16</t>
  </si>
  <si>
    <t>BOCC03  VB019  2T  2/10  7*16 kt</t>
  </si>
  <si>
    <t>SA259437A  VB006  2T 30/9  13*16 kt</t>
  </si>
  <si>
    <r>
      <t>B1NA001(C60/ETB40-S) VB001</t>
    </r>
    <r>
      <rPr>
        <sz val="15"/>
        <color rgb="FFFF0000"/>
        <rFont val="Times New Roman"/>
        <family val="1"/>
      </rPr>
      <t xml:space="preserve">  sợi X -  XY </t>
    </r>
    <r>
      <rPr>
        <sz val="15"/>
        <rFont val="Times New Roman"/>
        <family val="1"/>
      </rPr>
      <t xml:space="preserve"> 1CA  2/10 kt</t>
    </r>
  </si>
  <si>
    <t>SGR92083B VB182  3T  2/10 16*23</t>
  </si>
  <si>
    <t>SGR92083B VB183  2CA  1/10 kt</t>
  </si>
  <si>
    <t>BCVC12B va078  1ca  1/10 kt</t>
  </si>
  <si>
    <t>B1119  VA007  1.5T  30/9  5*8 kt</t>
  </si>
  <si>
    <r>
      <t xml:space="preserve">B1052  VA047  </t>
    </r>
    <r>
      <rPr>
        <b/>
        <sz val="13"/>
        <color rgb="FFFF0000"/>
        <rFont val="Times New Roman"/>
        <family val="1"/>
      </rPr>
      <t>CNM  4.0</t>
    </r>
    <r>
      <rPr>
        <b/>
        <sz val="13"/>
        <color theme="1"/>
        <rFont val="Times New Roman"/>
        <family val="1"/>
      </rPr>
      <t xml:space="preserve">  1CA  30/9 kt</t>
    </r>
  </si>
  <si>
    <t>BTM(50)2657  VB004  1T  4/10  1*9 ngừng t.lý</t>
  </si>
  <si>
    <t>SO202477E VB026  1CA 2/10</t>
  </si>
  <si>
    <t>BMC01 VB005  14T  23/9-4/10</t>
  </si>
  <si>
    <t>B09B  VA113  1CA  1/10</t>
  </si>
  <si>
    <t>ĐẠI TU  9/10</t>
  </si>
  <si>
    <t>SO251216A  vb004  16T  5/10-22/10</t>
  </si>
  <si>
    <t>BPM2789 VB005US 1CA  3/10</t>
  </si>
  <si>
    <t>B0202 vb036  2ca  1/10 kt</t>
  </si>
  <si>
    <t>B0278 VB089  3.5T  2/10  22*23</t>
  </si>
  <si>
    <t>B0210(OCR)  VB022  1T  3/10  2*8</t>
  </si>
  <si>
    <t>BCVC2366 VB020  2CA 1/10   2*4</t>
  </si>
  <si>
    <t>BR2385 VB001  1CA  1/10  kt</t>
  </si>
  <si>
    <t>BPM12B   VA033  1ca  1/10  kt</t>
  </si>
  <si>
    <t>BPM(20)0475  VA007  2T 2/10  11*16  kt</t>
  </si>
  <si>
    <r>
      <t xml:space="preserve">B06B  VA077   </t>
    </r>
    <r>
      <rPr>
        <b/>
        <sz val="13"/>
        <color rgb="FFFF0000"/>
        <rFont val="Times New Roman"/>
        <family val="1"/>
      </rPr>
      <t>SỢI B</t>
    </r>
    <r>
      <rPr>
        <b/>
        <sz val="13"/>
        <color theme="1"/>
        <rFont val="Times New Roman"/>
        <family val="1"/>
      </rPr>
      <t xml:space="preserve"> cúi k đạt 2/10  0*8</t>
    </r>
  </si>
  <si>
    <r>
      <t xml:space="preserve">B0210  VB146  </t>
    </r>
    <r>
      <rPr>
        <b/>
        <sz val="15"/>
        <color rgb="FFFF0000"/>
        <rFont val="Times New Roman"/>
        <family val="1"/>
      </rPr>
      <t>CNM  4.0</t>
    </r>
    <r>
      <rPr>
        <b/>
        <sz val="15"/>
        <color theme="1"/>
        <rFont val="Times New Roman"/>
        <family val="1"/>
      </rPr>
      <t xml:space="preserve">  1CA 1/10</t>
    </r>
  </si>
  <si>
    <t>B1124(C60/ETB40)  va033  7T  4/10</t>
  </si>
  <si>
    <t>B0212 VB060  1T 2/10   7*8</t>
  </si>
  <si>
    <t>SA190719A  VB024  10 BÚP 2T 4/10  0*10 kt</t>
  </si>
  <si>
    <r>
      <t xml:space="preserve">B04B(AA)  VA129  </t>
    </r>
    <r>
      <rPr>
        <sz val="13"/>
        <color rgb="FFFF0000"/>
        <rFont val="Times New Roman"/>
        <family val="1"/>
      </rPr>
      <t xml:space="preserve">22.5 BÚP </t>
    </r>
    <r>
      <rPr>
        <sz val="13"/>
        <color theme="1"/>
        <rFont val="Times New Roman"/>
        <family val="1"/>
      </rPr>
      <t xml:space="preserve"> 3T  2/10  20*22.5 kt</t>
    </r>
  </si>
  <si>
    <r>
      <t xml:space="preserve">B04B(AA)  VA129  </t>
    </r>
    <r>
      <rPr>
        <sz val="13"/>
        <color rgb="FFFF0000"/>
        <rFont val="Times New Roman"/>
        <family val="1"/>
      </rPr>
      <t>24 BÚP</t>
    </r>
    <r>
      <rPr>
        <sz val="13"/>
        <color theme="1"/>
        <rFont val="Times New Roman"/>
        <family val="1"/>
      </rPr>
      <t xml:space="preserve">   3T  3/10  20*24</t>
    </r>
  </si>
  <si>
    <r>
      <t xml:space="preserve">B06B  VA077   </t>
    </r>
    <r>
      <rPr>
        <b/>
        <sz val="13"/>
        <color rgb="FFFF0000"/>
        <rFont val="Times New Roman"/>
        <family val="1"/>
      </rPr>
      <t>SỢI B</t>
    </r>
    <r>
      <rPr>
        <b/>
        <sz val="13"/>
        <color theme="1"/>
        <rFont val="Times New Roman"/>
        <family val="1"/>
      </rPr>
      <t xml:space="preserve"> 1.5T  4/10 2*2+1*3+0*4+0*1 kt</t>
    </r>
  </si>
  <si>
    <r>
      <t xml:space="preserve">B1016  VA043  </t>
    </r>
    <r>
      <rPr>
        <b/>
        <sz val="13"/>
        <color rgb="FFFF0000"/>
        <rFont val="Times New Roman"/>
        <family val="1"/>
      </rPr>
      <t>CNM4.0</t>
    </r>
    <r>
      <rPr>
        <b/>
        <sz val="13"/>
        <color theme="1"/>
        <rFont val="Times New Roman"/>
        <family val="1"/>
      </rPr>
      <t xml:space="preserve">  1CA 3/10 kt</t>
    </r>
  </si>
  <si>
    <t>SA191068BOCR-U  VA015 1CA  2/10 kt</t>
  </si>
  <si>
    <t>SA190719A  VB024  8 BÚP 2T 4/10  3*8</t>
  </si>
  <si>
    <t>B0208 VB081  1T  4/10  1*8</t>
  </si>
  <si>
    <t>CỰ LY 10+ XƠ BẠC</t>
  </si>
  <si>
    <t>B0278(C60/ERT40) VB012  1T  6/10  kt</t>
  </si>
  <si>
    <t>SA259469A VB006  2CA  6/10 kt</t>
  </si>
  <si>
    <t>B0208 VB083ua  1ca  5/10 kt</t>
  </si>
  <si>
    <t>SO259561A vb003  2ca  3/10  2*3</t>
  </si>
  <si>
    <t>SA190719A  VB024  13 BÚP 2T 3/10  12*13 kt</t>
  </si>
  <si>
    <t>B2651  VB010  1CA  4/10  kt</t>
  </si>
  <si>
    <t>BPM2366  VB011  1T  4/10  3*8 kt</t>
  </si>
  <si>
    <t>B2784(RE100) VB001  1CA  3/10 kt</t>
  </si>
  <si>
    <t>SA170299A(U)  VA048  1.5T  3/10  6*8  kt</t>
  </si>
  <si>
    <t>SA200871ABM50-AA-U  VA003  1CA  5/10 kt</t>
  </si>
  <si>
    <r>
      <rPr>
        <b/>
        <sz val="13"/>
        <color rgb="FFFF0000"/>
        <rFont val="Times New Roman"/>
        <family val="1"/>
      </rPr>
      <t>B</t>
    </r>
    <r>
      <rPr>
        <b/>
        <sz val="13"/>
        <color theme="1"/>
        <rFont val="Times New Roman"/>
        <family val="1"/>
      </rPr>
      <t>07B  VA131  12T 4/10 kt</t>
    </r>
  </si>
  <si>
    <r>
      <rPr>
        <b/>
        <sz val="13"/>
        <color rgb="FFFF0000"/>
        <rFont val="Times New Roman"/>
        <family val="1"/>
      </rPr>
      <t>B</t>
    </r>
    <r>
      <rPr>
        <b/>
        <sz val="13"/>
        <color theme="1"/>
        <rFont val="Times New Roman"/>
        <family val="1"/>
      </rPr>
      <t>07B  VA131 2/10 kt</t>
    </r>
  </si>
  <si>
    <t>BA37L(U)  VA184  1T  3/10 5*6</t>
  </si>
  <si>
    <t>BM(M)07B(BPM)  VA012  1.5T  3/10  6*9 kt</t>
  </si>
  <si>
    <r>
      <t xml:space="preserve">B0293  VB020  </t>
    </r>
    <r>
      <rPr>
        <b/>
        <sz val="15"/>
        <color rgb="FFFF0000"/>
        <rFont val="Times New Roman"/>
        <family val="1"/>
      </rPr>
      <t>CNM 4.0</t>
    </r>
    <r>
      <rPr>
        <b/>
        <sz val="15"/>
        <rFont val="Times New Roman"/>
        <family val="1"/>
      </rPr>
      <t xml:space="preserve">  1CA  4/10 KT</t>
    </r>
  </si>
  <si>
    <t>B2722 VB001  1CA  5/10</t>
  </si>
  <si>
    <t>B2347(C60/ETB40) VB022  1.5T  4/10  6*8</t>
  </si>
  <si>
    <t>BC04(D)  VB008 9T 23/9-5/10 kt</t>
  </si>
  <si>
    <t>BOC(90)C03  VB006  2CA  5/10 kt</t>
  </si>
  <si>
    <t>B0281 VB098  1T  5/10  0*8 kt</t>
  </si>
  <si>
    <t>B0208  VB082  1T  8/10 0*8</t>
  </si>
  <si>
    <t>B2866  VB020  1CA  5/10 kt</t>
  </si>
  <si>
    <t>B2829 VB016  1.5T   4/10 6*8</t>
  </si>
  <si>
    <t>B2656 VB066  2CA 4/10  0*3</t>
  </si>
  <si>
    <t>BTM(50)2657  VB004  1T 4/10 6*9</t>
  </si>
  <si>
    <t>BCVC(40ETB)104  VA065  3T  6/10  14*16  kt</t>
  </si>
  <si>
    <t>BPM(50)1068 VA012  1CA  4/10 kt</t>
  </si>
  <si>
    <t>B2652  VA070   2CA  5/10  kt</t>
  </si>
  <si>
    <t>BTE(100LF)1069 VA003  3T  6/10  8*16</t>
  </si>
  <si>
    <t>SA259548AU VA004  20 BÚP  3T  7/10 8*20</t>
  </si>
  <si>
    <t>BCVC04B  va091 2.5T 7/10  5*16</t>
  </si>
  <si>
    <t>B8224  VA035  2CA  3/10  5*7</t>
  </si>
  <si>
    <t xml:space="preserve">SA170299A(BM-U) VA003  1CA  5/10 </t>
  </si>
  <si>
    <t>B1016(C40/AF30/T30I) VA001  1CA 4/10 KT</t>
  </si>
  <si>
    <t>BMC03(AA) VB019  1T  4/10 7*8</t>
  </si>
  <si>
    <t>BPM0210  VB035  1CA  6/10</t>
  </si>
  <si>
    <t>B2347(C60/ETB40)  VB023  1CA  5/10</t>
  </si>
  <si>
    <t>B2299  VB045  1CA  5/10</t>
  </si>
  <si>
    <t>B2366 VB086  2CA  6/10</t>
  </si>
  <si>
    <t>B2795 VB006  1CA  5/10</t>
  </si>
  <si>
    <t>B03(C60/ETB40)  vb005  1ca  7/10</t>
  </si>
  <si>
    <r>
      <rPr>
        <b/>
        <sz val="13"/>
        <color rgb="FFFF0000"/>
        <rFont val="Times New Roman"/>
        <family val="1"/>
      </rPr>
      <t>B</t>
    </r>
    <r>
      <rPr>
        <b/>
        <sz val="13"/>
        <color theme="1"/>
        <rFont val="Times New Roman"/>
        <family val="1"/>
      </rPr>
      <t>04B  VA124  13T 7/10</t>
    </r>
  </si>
  <si>
    <r>
      <rPr>
        <b/>
        <sz val="13"/>
        <color rgb="FFFF0000"/>
        <rFont val="Times New Roman"/>
        <family val="1"/>
      </rPr>
      <t>B</t>
    </r>
    <r>
      <rPr>
        <b/>
        <sz val="13"/>
        <color theme="1"/>
        <rFont val="Times New Roman"/>
        <family val="1"/>
      </rPr>
      <t>04B  VA124  13T 8/10</t>
    </r>
  </si>
  <si>
    <t>DỜI QUA 20#    9/10</t>
  </si>
  <si>
    <r>
      <t xml:space="preserve">B2621  VB091  </t>
    </r>
    <r>
      <rPr>
        <b/>
        <sz val="15"/>
        <color rgb="FFFF0000"/>
        <rFont val="Times New Roman"/>
        <family val="1"/>
      </rPr>
      <t>CNM 4.0</t>
    </r>
    <r>
      <rPr>
        <b/>
        <sz val="15"/>
        <color theme="1"/>
        <rFont val="Times New Roman"/>
        <family val="1"/>
      </rPr>
      <t xml:space="preserve">  1CA 6/10</t>
    </r>
  </si>
  <si>
    <t>BCVC2782  VB003  1CA  6/10</t>
  </si>
  <si>
    <r>
      <rPr>
        <b/>
        <sz val="13"/>
        <color rgb="FFFF0000"/>
        <rFont val="Times New Roman"/>
        <family val="1"/>
      </rPr>
      <t>B</t>
    </r>
    <r>
      <rPr>
        <b/>
        <sz val="13"/>
        <color theme="1"/>
        <rFont val="Times New Roman"/>
        <family val="1"/>
      </rPr>
      <t>04B  VA124  13T 7/10 kt</t>
    </r>
  </si>
  <si>
    <t>BA37L(U) VA186  1T  6/10  4*7</t>
  </si>
  <si>
    <t>SA259548AU VA004  22.5 BÚP  3T  8/10   25*30</t>
  </si>
  <si>
    <t>BCVC1115 VA001  1T  6/10 5*7</t>
  </si>
  <si>
    <t>B0208(C60/ETB40) VB029  2CA  6/10 1*3</t>
  </si>
  <si>
    <t>BC02(OCR) VB020  2CA  5/10  kt</t>
  </si>
  <si>
    <t>BC03(OCN) vb013  1ca  5/10 kt</t>
  </si>
  <si>
    <t>B1NA13 vb013  sợi X-XY  1.5T  9/10 kt</t>
  </si>
  <si>
    <t>B2207(RE100) VB001  1CA  12/10 kt</t>
  </si>
  <si>
    <t xml:space="preserve">ĐỔI CỰ LY 14 </t>
  </si>
  <si>
    <t>B02B(BP) VA001  1CA  8/10</t>
  </si>
  <si>
    <t>vệ sinh DQ</t>
  </si>
  <si>
    <t>B06G(FH18)(BOC20-AA) VB024</t>
  </si>
  <si>
    <t>3JC M +5 JC VB048</t>
  </si>
  <si>
    <t>BPM(20)0209  VB005</t>
  </si>
  <si>
    <t>2m+5 JC VB049+1 JC TT MỸ</t>
  </si>
  <si>
    <t>sản phẩm</t>
  </si>
  <si>
    <t>BT VB049</t>
  </si>
  <si>
    <t>VB018</t>
  </si>
  <si>
    <t>VB019 MỸ</t>
  </si>
  <si>
    <t>TỔNG MÁY CHẢI CẦN</t>
  </si>
  <si>
    <t>MÀU</t>
  </si>
  <si>
    <t>B1123  VA024  1CA  9/10</t>
  </si>
  <si>
    <t>SA229142AU  VA023  1CA  9/10</t>
  </si>
  <si>
    <t>BVA004A  VA031  15T 18/10</t>
  </si>
  <si>
    <t>BH13(C60/ETB40) VB002  1CA  7/10 kt</t>
  </si>
  <si>
    <t>BNC01  VB046  2T  8/10  11*16</t>
  </si>
  <si>
    <t>B2748 VB006  1T  7/10 2*8 kt</t>
  </si>
  <si>
    <t>B2367(OCN)  VB015  2CA  6/10 0*3 kt</t>
  </si>
  <si>
    <t>BM11B(AA)  VA004  1.5T  8/10 4*10 kt</t>
  </si>
  <si>
    <t>SA192462ABTE100LF-U  VA004  2T  9/10   12*16</t>
  </si>
  <si>
    <t>BM(70M)1068(BPM-AA)  VA015  2CA  9/10 0*3</t>
  </si>
  <si>
    <r>
      <t xml:space="preserve">B1034  VA024  </t>
    </r>
    <r>
      <rPr>
        <b/>
        <sz val="13"/>
        <color rgb="FFFF0000"/>
        <rFont val="Times New Roman"/>
        <family val="1"/>
      </rPr>
      <t>CNM 4.0</t>
    </r>
    <r>
      <rPr>
        <b/>
        <sz val="13"/>
        <color theme="1"/>
        <rFont val="Times New Roman"/>
        <family val="1"/>
      </rPr>
      <t xml:space="preserve">  1CA 7/10  0*2</t>
    </r>
  </si>
  <si>
    <t>B06G(FH18)(BOC20-AA)  VB024  9T  30/9-9/10</t>
  </si>
  <si>
    <t>BPM03 VB009  1.5T 8/10   12*16</t>
  </si>
  <si>
    <t>B2347(EA30)   VB002  1T   9/10 2*8</t>
  </si>
  <si>
    <t>BR0202(AA) VB003  1CA 8/10 kt</t>
  </si>
  <si>
    <t>BVA004E  VA012  1CA  8/10 kt</t>
  </si>
  <si>
    <r>
      <rPr>
        <b/>
        <sz val="14"/>
        <color rgb="FFFF0000"/>
        <rFont val="Times New Roman"/>
        <family val="1"/>
      </rPr>
      <t>B</t>
    </r>
    <r>
      <rPr>
        <b/>
        <sz val="14"/>
        <color theme="1"/>
        <rFont val="Times New Roman"/>
        <family val="1"/>
      </rPr>
      <t>04B  VA127  10T 9/10 kt</t>
    </r>
  </si>
  <si>
    <t>BM1068(AA)  VA005  1T  12/10 kt</t>
  </si>
  <si>
    <r>
      <t xml:space="preserve">B1124  va034   </t>
    </r>
    <r>
      <rPr>
        <b/>
        <sz val="13"/>
        <color rgb="FFFF0000"/>
        <rFont val="Times New Roman"/>
        <family val="1"/>
      </rPr>
      <t>22 BÚP</t>
    </r>
    <r>
      <rPr>
        <b/>
        <sz val="13"/>
        <color theme="1"/>
        <rFont val="Times New Roman"/>
        <family val="1"/>
      </rPr>
      <t xml:space="preserve">  3T  9/10 14*22 kt</t>
    </r>
  </si>
  <si>
    <t>B0284 VA042  1T  8/10  2*7 kt</t>
  </si>
  <si>
    <t>B0460  va031  1ca  8/10 kt</t>
  </si>
  <si>
    <t>BCVC(20)12B  VA001  1T  8/10  4*7</t>
  </si>
  <si>
    <t>BSO4155ABOC10  VB001  1CA  10/10</t>
  </si>
  <si>
    <r>
      <t xml:space="preserve">B8847  VA026  </t>
    </r>
    <r>
      <rPr>
        <b/>
        <sz val="13"/>
        <color rgb="FFFF0000"/>
        <rFont val="Times New Roman"/>
        <family val="1"/>
      </rPr>
      <t>CNM 4.0</t>
    </r>
    <r>
      <rPr>
        <b/>
        <sz val="13"/>
        <color theme="1"/>
        <rFont val="Times New Roman"/>
        <family val="1"/>
      </rPr>
      <t xml:space="preserve">  1CA  10/10</t>
    </r>
  </si>
  <si>
    <t>BC04 VB081  2.5T  10/10-10/10  11*16</t>
  </si>
  <si>
    <t>B0209 VB048  1.5T  9/10  6*8</t>
  </si>
  <si>
    <r>
      <t xml:space="preserve">B0210  VB146  </t>
    </r>
    <r>
      <rPr>
        <b/>
        <sz val="15"/>
        <color rgb="FFFF0000"/>
        <rFont val="Times New Roman"/>
        <family val="1"/>
      </rPr>
      <t xml:space="preserve">CNM 4.0 </t>
    </r>
    <r>
      <rPr>
        <b/>
        <sz val="15"/>
        <color theme="1"/>
        <rFont val="Times New Roman"/>
        <family val="1"/>
      </rPr>
      <t xml:space="preserve"> 1CA 10/10</t>
    </r>
  </si>
  <si>
    <t>B2793  VB016  3T  9/10  21*23</t>
  </si>
  <si>
    <t>BCVC(40ETB)104 VA066  2CA  8/10 3*4 KT</t>
  </si>
  <si>
    <t>B1069  VA230  2CA  11/10  3*4</t>
  </si>
  <si>
    <r>
      <t xml:space="preserve">B1124  va034   </t>
    </r>
    <r>
      <rPr>
        <b/>
        <sz val="13"/>
        <color rgb="FFFF0000"/>
        <rFont val="Times New Roman"/>
        <family val="1"/>
      </rPr>
      <t>23.5 BÚP</t>
    </r>
    <r>
      <rPr>
        <b/>
        <sz val="13"/>
        <color theme="1"/>
        <rFont val="Times New Roman"/>
        <family val="1"/>
      </rPr>
      <t xml:space="preserve">  3T  9/10   21*23.5</t>
    </r>
  </si>
  <si>
    <r>
      <t xml:space="preserve">B2656  VB065 </t>
    </r>
    <r>
      <rPr>
        <b/>
        <sz val="15"/>
        <color rgb="FFFF0000"/>
        <rFont val="Times New Roman"/>
        <family val="1"/>
      </rPr>
      <t xml:space="preserve"> CNM 4.0</t>
    </r>
    <r>
      <rPr>
        <b/>
        <sz val="15"/>
        <color theme="1"/>
        <rFont val="Times New Roman"/>
        <family val="1"/>
      </rPr>
      <t xml:space="preserve">  1CA 11/10 kt</t>
    </r>
  </si>
  <si>
    <t>SA170299A(OCR-U) VA008  2CA  12/10</t>
  </si>
  <si>
    <t>B04B(AA)  VA130  12T   22/10</t>
  </si>
  <si>
    <t>BM(50)07B(AA) VA011  1.5T 11/10  2*10 kt</t>
  </si>
  <si>
    <t>B1062  va030  2ca  10/10 kt</t>
  </si>
  <si>
    <t>B1069(OCN) VA171  1T  10/10 6*7</t>
  </si>
  <si>
    <t>B12B   VA156  4T  10/10 kt</t>
  </si>
  <si>
    <t>B02B VA143  1T  11/10 2*7</t>
  </si>
  <si>
    <t>B06A(T65/TE35-AA) VA014  1T 11/10  0*7</t>
  </si>
  <si>
    <r>
      <t xml:space="preserve">B01-RM VB003  </t>
    </r>
    <r>
      <rPr>
        <sz val="15"/>
        <color rgb="FFFF0000"/>
        <rFont val="Times New Roman"/>
        <family val="1"/>
      </rPr>
      <t xml:space="preserve">8 búp </t>
    </r>
    <r>
      <rPr>
        <sz val="15"/>
        <color theme="1"/>
        <rFont val="Times New Roman"/>
        <family val="1"/>
      </rPr>
      <t xml:space="preserve"> 1T  11/10 0*8</t>
    </r>
  </si>
  <si>
    <t>BTC2401  VB006  1T  10/10  4*8 kt</t>
  </si>
  <si>
    <t>B2491  vb006  1ca  10/10  0*3</t>
  </si>
  <si>
    <t>BC02(OCR)  VB021  1CA  10/10</t>
  </si>
  <si>
    <t>BC04(AA)  VB082  2CA  9/10</t>
  </si>
  <si>
    <t>B2366  VB087  2CA  9/10</t>
  </si>
  <si>
    <t>B2784(ERT80/RE20) VB001  1CA 11/10 kt</t>
  </si>
  <si>
    <r>
      <t xml:space="preserve">B2491  vb005 </t>
    </r>
    <r>
      <rPr>
        <b/>
        <sz val="15"/>
        <color rgb="FFFF0000"/>
        <rFont val="Times New Roman"/>
        <family val="1"/>
      </rPr>
      <t>CNM 4.0</t>
    </r>
    <r>
      <rPr>
        <b/>
        <sz val="15"/>
        <rFont val="Times New Roman"/>
        <family val="1"/>
      </rPr>
      <t xml:space="preserve">  1CA  11/10</t>
    </r>
  </si>
  <si>
    <r>
      <t xml:space="preserve">B2282  VB041  </t>
    </r>
    <r>
      <rPr>
        <b/>
        <sz val="15"/>
        <color rgb="FFFF0000"/>
        <rFont val="Times New Roman"/>
        <family val="1"/>
      </rPr>
      <t xml:space="preserve">CNM 4.0 </t>
    </r>
    <r>
      <rPr>
        <b/>
        <sz val="15"/>
        <rFont val="Times New Roman"/>
        <family val="1"/>
      </rPr>
      <t xml:space="preserve"> 1CA 11/10</t>
    </r>
  </si>
  <si>
    <r>
      <rPr>
        <b/>
        <sz val="15"/>
        <color rgb="FFFF0000"/>
        <rFont val="Times New Roman"/>
        <family val="1"/>
      </rPr>
      <t>B</t>
    </r>
    <r>
      <rPr>
        <b/>
        <sz val="15"/>
        <rFont val="Times New Roman"/>
        <family val="1"/>
      </rPr>
      <t>C02   VB133  15T  5/10-15/10</t>
    </r>
  </si>
  <si>
    <t>BS0278  VB090  1CA 12/10</t>
  </si>
  <si>
    <t>B2367(OCN)  VB016  1CA  12/10</t>
  </si>
  <si>
    <t>BCVC1068  VA008  1CA 21/10</t>
  </si>
  <si>
    <t>B2347 vb099  2ca 13/10</t>
  </si>
  <si>
    <r>
      <t xml:space="preserve">B01-RM VB003  </t>
    </r>
    <r>
      <rPr>
        <sz val="15"/>
        <color rgb="FFFF0000"/>
        <rFont val="Times New Roman"/>
        <family val="1"/>
      </rPr>
      <t xml:space="preserve">8 búp </t>
    </r>
    <r>
      <rPr>
        <sz val="15"/>
        <color theme="1"/>
        <rFont val="Times New Roman"/>
        <family val="1"/>
      </rPr>
      <t xml:space="preserve"> 1T  11/10 7*8</t>
    </r>
  </si>
  <si>
    <r>
      <t xml:space="preserve">B0212  VB059  </t>
    </r>
    <r>
      <rPr>
        <b/>
        <sz val="15"/>
        <color rgb="FFFF0000"/>
        <rFont val="Times New Roman"/>
        <family val="1"/>
      </rPr>
      <t>CNM 4.0</t>
    </r>
    <r>
      <rPr>
        <b/>
        <sz val="15"/>
        <color theme="1"/>
        <rFont val="Times New Roman"/>
        <family val="1"/>
      </rPr>
      <t xml:space="preserve">  1CA  13/10 kt</t>
    </r>
  </si>
  <si>
    <t>BPM2657  VB004  2CA  12/10 kt</t>
  </si>
  <si>
    <t>SO35751C(OCR)  VB001  1CA  12/10 kt</t>
  </si>
  <si>
    <t>B0279  VB049  2T  11/10 15*16</t>
  </si>
  <si>
    <t>SV239206AAG3G-U va002  2ca  12/10 kt</t>
  </si>
  <si>
    <t>BTC0475  VA018  1T  10/10 5*7 kt</t>
  </si>
  <si>
    <t>B02B  va142US 2CA  11/10 2*3</t>
  </si>
  <si>
    <t>SA200871AU  VA089  1CA  11/10</t>
  </si>
  <si>
    <t>SA170299A(CVC-U)  VA036  1CA  11/10 kt</t>
  </si>
  <si>
    <t>B04B(AA)  VA131  2CA  11/10 1*4</t>
  </si>
  <si>
    <t>B1019  va132  4T  13/10  14*23</t>
  </si>
  <si>
    <t>B09B va114  3.5T  13/10  13*20</t>
  </si>
  <si>
    <t>B8224  VA036  1CA  11/10 kt</t>
  </si>
  <si>
    <t>SO251216A  vb004  16T  5/10-14/10</t>
  </si>
  <si>
    <t>B1124  VA036US 1CA  12/10</t>
  </si>
  <si>
    <t>B2866  VB021  1CA  12/10</t>
  </si>
  <si>
    <t>BS0212  VB061  2CA  15/10</t>
  </si>
  <si>
    <t>B0221  VB024  1CA  13/10</t>
  </si>
  <si>
    <t>BVA004A  VA031  15T 16/10</t>
  </si>
  <si>
    <t>BVA004A  VA031  15T 17/10</t>
  </si>
  <si>
    <t>SA170299A(U) VA049  1CA  13/10</t>
  </si>
  <si>
    <t>B0284  va043  2ca   14/10</t>
  </si>
  <si>
    <t>BCVC07B  va097 1ca 12/10</t>
  </si>
  <si>
    <t>BVO004B  VB004  2CA  13/10 kt</t>
  </si>
  <si>
    <t>B2366  VB088  1CA  16/10 kt</t>
  </si>
  <si>
    <r>
      <rPr>
        <b/>
        <sz val="15"/>
        <color rgb="FFFF0000"/>
        <rFont val="Times New Roman"/>
        <family val="1"/>
      </rPr>
      <t>B</t>
    </r>
    <r>
      <rPr>
        <b/>
        <sz val="15"/>
        <rFont val="Times New Roman"/>
        <family val="1"/>
      </rPr>
      <t>C02   VB133  15T  5/10-14/10 kt</t>
    </r>
  </si>
  <si>
    <t>SO259231AC60/RE40  vb005  2ca  13/10 kt</t>
  </si>
  <si>
    <t>BM(B)0284  VA003US  2CA  12/10 kt</t>
  </si>
  <si>
    <t>BM(100)1124 va001  1ca 11/10  1*3 kt</t>
  </si>
  <si>
    <t>BM(100M)04B(AA) VA022  7T  12/10 kt</t>
  </si>
  <si>
    <t>SA155968A(U)  va004  1ca 16/10</t>
  </si>
  <si>
    <t>B2652  VA071  1CA  17/10</t>
  </si>
  <si>
    <t>B02B(BP) VA002  1CA  14/10</t>
  </si>
  <si>
    <t>B2228  VB003  1CA  14/10</t>
  </si>
  <si>
    <t>BCVC2748  VB003  1CA  14/10</t>
  </si>
  <si>
    <t>B0204  VB014  1CA  14/10</t>
  </si>
  <si>
    <t>B2621  VB092  2CA  14/10  1*3</t>
  </si>
  <si>
    <t>BC/A(30)0202 VB001  1CA  14/10  0*3</t>
  </si>
  <si>
    <t>B0278  VB091  1CA 15/10 kt</t>
  </si>
  <si>
    <t>SGR92083B  VB184  2CA  15/10 kt</t>
  </si>
  <si>
    <t>B2F025(AA)  VB003  1CA 15/10 kt</t>
  </si>
  <si>
    <t>BC04(M50B/T50) VB001  2CA  15/10 1*4</t>
  </si>
  <si>
    <t>SA192462AU  VA021  3T  15/10 22*23</t>
  </si>
  <si>
    <t>BR02B  VA002  1CA  15/10 kt</t>
  </si>
  <si>
    <t>BCVC1019  VA049  3T  15/10  8*16 ngừng  kt</t>
  </si>
  <si>
    <t>BVA004A  VA031  15T 15/10</t>
  </si>
  <si>
    <r>
      <t>SO259714</t>
    </r>
    <r>
      <rPr>
        <sz val="15"/>
        <color rgb="FFFF0000"/>
        <rFont val="Times New Roman"/>
        <family val="1"/>
      </rPr>
      <t>A</t>
    </r>
    <r>
      <rPr>
        <sz val="15"/>
        <color theme="1"/>
        <rFont val="Times New Roman"/>
        <family val="1"/>
      </rPr>
      <t>HP100  VB001  1CA  15/10</t>
    </r>
  </si>
  <si>
    <r>
      <t>SO259714</t>
    </r>
    <r>
      <rPr>
        <sz val="15"/>
        <color rgb="FFFF0000"/>
        <rFont val="Times New Roman"/>
        <family val="1"/>
      </rPr>
      <t>B</t>
    </r>
    <r>
      <rPr>
        <sz val="15"/>
        <color theme="1"/>
        <rFont val="Times New Roman"/>
        <family val="1"/>
      </rPr>
      <t>HP100  VB001  1CA  15/10</t>
    </r>
  </si>
  <si>
    <r>
      <t>SO259704</t>
    </r>
    <r>
      <rPr>
        <sz val="15"/>
        <color rgb="FFFF0000"/>
        <rFont val="Times New Roman"/>
        <family val="1"/>
      </rPr>
      <t>B</t>
    </r>
    <r>
      <rPr>
        <sz val="15"/>
        <color theme="1"/>
        <rFont val="Times New Roman"/>
        <family val="1"/>
      </rPr>
      <t>HP100  VB001  1CA  15/10</t>
    </r>
  </si>
  <si>
    <r>
      <t>SO259717</t>
    </r>
    <r>
      <rPr>
        <sz val="15"/>
        <color rgb="FFFF0000"/>
        <rFont val="Times New Roman"/>
        <family val="1"/>
      </rPr>
      <t>A</t>
    </r>
    <r>
      <rPr>
        <sz val="15"/>
        <color theme="1"/>
        <rFont val="Times New Roman"/>
        <family val="1"/>
      </rPr>
      <t>HP100  VB001  1CA  16/10</t>
    </r>
  </si>
  <si>
    <t>hủy</t>
  </si>
  <si>
    <t>HỦY</t>
  </si>
  <si>
    <t>BPM0210  JVB036M  1T  15/10 5*8</t>
  </si>
  <si>
    <t>B0201  VB029  1CA  16/10 kt</t>
  </si>
  <si>
    <t>B2282  VB042  1T  17/10  kt</t>
  </si>
  <si>
    <r>
      <t>SO259720</t>
    </r>
    <r>
      <rPr>
        <sz val="15"/>
        <color rgb="FFFF0000"/>
        <rFont val="Times New Roman"/>
        <family val="1"/>
      </rPr>
      <t>A</t>
    </r>
    <r>
      <rPr>
        <sz val="15"/>
        <color theme="1"/>
        <rFont val="Times New Roman"/>
        <family val="1"/>
      </rPr>
      <t>HP100  VB001  1CA 16/10 kt</t>
    </r>
  </si>
  <si>
    <r>
      <t xml:space="preserve">SO251216A  vb004  17# </t>
    </r>
    <r>
      <rPr>
        <sz val="15"/>
        <color rgb="FFFF0000"/>
        <rFont val="Times New Roman"/>
        <family val="1"/>
      </rPr>
      <t>DỜI QUA</t>
    </r>
    <r>
      <rPr>
        <sz val="15"/>
        <rFont val="Times New Roman"/>
        <family val="1"/>
      </rPr>
      <t xml:space="preserve"> 15/10 kt</t>
    </r>
  </si>
  <si>
    <t>SO251216A  vb004  16T  5/10-16/10 kt</t>
  </si>
  <si>
    <t>BN08(TC)  VB017  2CA  16/10 kt</t>
  </si>
  <si>
    <t>B0284  va044  2ca   15/10 0*4</t>
  </si>
  <si>
    <t>BCVC1019  VA049   sợi B 8B+4B 1T 17/10 2*8+4</t>
  </si>
  <si>
    <t>BVA004A  VA031  15T 16/10 KT</t>
  </si>
  <si>
    <t>B07B  VA132  2CA 16/10 2*6</t>
  </si>
  <si>
    <t>B1004P(EA30)  VA021   2CA  15/10 3*4</t>
  </si>
  <si>
    <t>B06A(BOC10)  va105  2ca    15/10 1*4</t>
  </si>
  <si>
    <t>B1004B1(NP)  VA001  1CA 17/10</t>
  </si>
  <si>
    <t>SGR92083B(CR30-AA)  VB029  1CA 17/10</t>
  </si>
  <si>
    <t>BC04  VB084  1CA  17/10</t>
  </si>
  <si>
    <t>B2651 VB009  20T  7/10-21/10</t>
  </si>
  <si>
    <r>
      <rPr>
        <b/>
        <sz val="15"/>
        <color rgb="FFFF0000"/>
        <rFont val="Times New Roman"/>
        <family val="1"/>
      </rPr>
      <t>B</t>
    </r>
    <r>
      <rPr>
        <b/>
        <sz val="15"/>
        <color theme="1"/>
        <rFont val="Times New Roman"/>
        <family val="1"/>
      </rPr>
      <t>C03  VB102  16/10</t>
    </r>
  </si>
  <si>
    <t>B0284-RM  VA002  1CA  18/10</t>
  </si>
  <si>
    <t>B1062(OCR) va001  1ca  18/10</t>
  </si>
  <si>
    <t>B1044  VA012  CNM 4.0  1CA 16/10 kt</t>
  </si>
  <si>
    <t>BCVC1019  VA049  SỢI B 8B  1T 17/10  1*8 kt</t>
  </si>
  <si>
    <t>B1114  VA027  2CA 16/10  2*3</t>
  </si>
  <si>
    <t>SA200871AU VA090  1CA 17/10</t>
  </si>
  <si>
    <t>BA37L(U)  VA187  2CA 17/10 1*4</t>
  </si>
  <si>
    <t>SA170299A(CVC-U) VA037  1CA 16/10 0*4</t>
  </si>
  <si>
    <t>B2621(OCN)  VB012  2T  17/10  12*16</t>
  </si>
  <si>
    <t>BCVC2347  VB045  1T   17/10  6*8</t>
  </si>
  <si>
    <t>B0210  VA147  1T  17/10  5*8</t>
  </si>
  <si>
    <r>
      <t xml:space="preserve">BFC08-130   3JVB034UA  SỢI X - </t>
    </r>
    <r>
      <rPr>
        <sz val="15"/>
        <color rgb="FFFF0000"/>
        <rFont val="Times New Roman"/>
        <family val="1"/>
      </rPr>
      <t xml:space="preserve"> XY</t>
    </r>
    <r>
      <rPr>
        <sz val="15"/>
        <color theme="1"/>
        <rFont val="Times New Roman"/>
        <family val="1"/>
      </rPr>
      <t xml:space="preserve">   1T  15/10 5*8 kt</t>
    </r>
  </si>
  <si>
    <t>BC03  VB104UA  1CA  18/10 kt</t>
  </si>
  <si>
    <t>B2798  VB024  2CA  16/10 kt</t>
  </si>
  <si>
    <t>BC04(RE100)  VB001  1CA  16/10 2*4</t>
  </si>
  <si>
    <r>
      <t xml:space="preserve">B2652  VA071 </t>
    </r>
    <r>
      <rPr>
        <b/>
        <sz val="13"/>
        <color rgb="FFFF0000"/>
        <rFont val="Times New Roman"/>
        <family val="1"/>
      </rPr>
      <t>SỢI B</t>
    </r>
    <r>
      <rPr>
        <b/>
        <sz val="13"/>
        <color theme="1"/>
        <rFont val="Times New Roman"/>
        <family val="1"/>
      </rPr>
      <t xml:space="preserve">  1CA  18/10</t>
    </r>
  </si>
  <si>
    <r>
      <t xml:space="preserve">B07B  VA132  </t>
    </r>
    <r>
      <rPr>
        <b/>
        <sz val="13"/>
        <color rgb="FFFF0000"/>
        <rFont val="Times New Roman"/>
        <family val="1"/>
      </rPr>
      <t>SỢI B</t>
    </r>
    <r>
      <rPr>
        <b/>
        <sz val="13"/>
        <color theme="1"/>
        <rFont val="Times New Roman"/>
        <family val="1"/>
      </rPr>
      <t xml:space="preserve"> 2CA  18/10</t>
    </r>
  </si>
  <si>
    <t>B2651 VB009  20T  9/10-20/10</t>
  </si>
  <si>
    <t>B2299  VB046  1CA  18/10</t>
  </si>
  <si>
    <t>B1068  VA046  2CA 20/10</t>
  </si>
  <si>
    <t>BSA3871ABPM20  VB030  1CA  19/10</t>
  </si>
  <si>
    <t>2M+6 JC VB048</t>
  </si>
  <si>
    <t>B2829  VB017</t>
  </si>
  <si>
    <t>4 M + 4 JC VB049</t>
  </si>
  <si>
    <t>BCVC04B  VA092  1T   20/10</t>
  </si>
  <si>
    <t>SGR92083B(BPM20) VB038  2CA 18/10 kt</t>
  </si>
  <si>
    <t>BPM(50)2401  VB001  1CA 19/10 kt</t>
  </si>
  <si>
    <t>B0202 VB037  1CA  17/10 kt</t>
  </si>
  <si>
    <t>SA170299A(AG3G-U)  VA003  1CA 17/10  0*4</t>
  </si>
  <si>
    <t>B06A(BOC20-AA)  va022 6T   17/10 kt</t>
  </si>
  <si>
    <r>
      <rPr>
        <b/>
        <sz val="13"/>
        <color rgb="FFFF0000"/>
        <rFont val="Times New Roman"/>
        <family val="1"/>
      </rPr>
      <t>B</t>
    </r>
    <r>
      <rPr>
        <b/>
        <sz val="13"/>
        <rFont val="Times New Roman"/>
        <family val="1"/>
      </rPr>
      <t>1124  VA035  6T  18/10 kt</t>
    </r>
  </si>
  <si>
    <t>BPM1004  VA013  1.5T  17/10  6*8</t>
  </si>
  <si>
    <t>SA170299A(U) va050  1ca  19/10 3*4</t>
  </si>
  <si>
    <t>SA170299A(BM100-AA-U)  VA012  1CA  17/10 kt</t>
  </si>
  <si>
    <t>BCVC1068  VA008 1ca 19/10</t>
  </si>
  <si>
    <t>BPM1069  VA106  1CA  20/10</t>
  </si>
  <si>
    <t>SO259720BHP100  VB001  1CA 18/10</t>
  </si>
  <si>
    <t>B04B(AA)  VA134  2CA  LUCKY</t>
  </si>
  <si>
    <t>BVA004E  VA013  1CA  18/10 kt</t>
  </si>
  <si>
    <t>SO41269A(U) VA054  1CA  18/10 kt</t>
  </si>
  <si>
    <t>B04B(AA)  VA132  2CA  17/10 2*4 kt</t>
  </si>
  <si>
    <t>BS07B  VA133  2CA  17/10 0*3 kt</t>
  </si>
  <si>
    <t>BTR04B  VA013  1CA  18/10 3*4</t>
  </si>
  <si>
    <t>BM11B(AA)  VA005  2CA  19/10</t>
  </si>
  <si>
    <t>B2347 VB100  1CA 20/10 kt</t>
  </si>
  <si>
    <t>SGR91885D  VB019  1CA  19/10 kt</t>
  </si>
  <si>
    <t>BC03  VB105US  2.5T  19/10 11*16</t>
  </si>
  <si>
    <t>SGR41667A(CVC20-XY)  VB049  sợi X  5T   19/10 22*29</t>
  </si>
  <si>
    <t>B0208(GC100)  3JVB006GEC  1.5T  18/10 3*8 kt</t>
  </si>
  <si>
    <t>SO251031AERT65/RE35 VB004  1T  19/10 3*9 kt</t>
  </si>
  <si>
    <t>B2282(OCR)  VB006  2T  19/10 9*16 +2 búp nhỏ</t>
  </si>
  <si>
    <t>SA192462AU  VA022  2CA  20/10</t>
  </si>
  <si>
    <t>SGR92083B  VB185  1CA  20/10</t>
  </si>
  <si>
    <t>BNC01(CVC) VB019  16T  5/10-22/10</t>
  </si>
  <si>
    <t>B2879  vb008  1ca  20/10</t>
  </si>
  <si>
    <t>B0212  vb062 1ca  21/10</t>
  </si>
  <si>
    <t>BNC01(CVC) VB019  16T  5/10-21/10</t>
  </si>
  <si>
    <t>BM02B  VA013  8T  21/10</t>
  </si>
  <si>
    <t>BPM8847  VA038  2CA  23/10</t>
  </si>
  <si>
    <t>B06A(T65/TE35-AA) va015  1ca  20/10</t>
  </si>
  <si>
    <t>SGR41668A(CVC5-U) VA039  12T  21/10 kt</t>
  </si>
  <si>
    <t>BPM(50)1004 va001  1ca  kt</t>
  </si>
  <si>
    <t>SGR41668A(CVC5-U) VA039  8T  20/10 kt</t>
  </si>
  <si>
    <t>B1004   VA214  5T  20/10 kt</t>
  </si>
  <si>
    <t>B04B  va133  2ca  21/10 kt</t>
  </si>
  <si>
    <t>B0284  VA045  1T  19/10 1*7 kt</t>
  </si>
  <si>
    <t>SGR82938A(BOC10-U)  VA028  4T  20/10 13*23 kt</t>
  </si>
  <si>
    <t>B2366  VB089  2CA  22/10 kt</t>
  </si>
  <si>
    <t>B0201  VB030  1CA  22/10 kt</t>
  </si>
  <si>
    <t>B2651 VB011  1CA  21/10 kt</t>
  </si>
  <si>
    <t>BCVC2748  VB004  1CA  20/10 kt</t>
  </si>
  <si>
    <t>B0285  VB035  1.5T  20/10  14*16</t>
  </si>
  <si>
    <t>B2282(OCR)  VB006 sợi B 11b 1.5T 22/10 4*11</t>
  </si>
  <si>
    <t>B2795  VB007  2CA  22/10</t>
  </si>
  <si>
    <t>BM0278  VB009 1CA  25/10</t>
  </si>
  <si>
    <t>BM0212  VB013  1CA  26/10</t>
  </si>
  <si>
    <t>B1124P(EA25) VA011  6T 23/10</t>
  </si>
  <si>
    <t>B1114  va028  2ca  22/10</t>
  </si>
  <si>
    <r>
      <rPr>
        <b/>
        <sz val="13"/>
        <rFont val="Times New Roman"/>
        <family val="1"/>
      </rPr>
      <t>B</t>
    </r>
    <r>
      <rPr>
        <b/>
        <sz val="13"/>
        <color theme="1"/>
        <rFont val="Times New Roman"/>
        <family val="1"/>
      </rPr>
      <t>1069  VA231  7T  23/10</t>
    </r>
  </si>
  <si>
    <t>SA170299A(C60/ETB40-U)  va008  1ca  21/10</t>
  </si>
  <si>
    <t>B0283(OCR)  vb003  1ca  23/10</t>
  </si>
  <si>
    <t>BC04(OCN5)  VB001  1CA  21/10</t>
  </si>
  <si>
    <t>B2347(C60/ETB40)  VB024  1CA  23/10</t>
  </si>
  <si>
    <t>B0278(C60/ERT40)  vb013  2ca  24/10</t>
  </si>
  <si>
    <t>B2796  VB023  1CA  21/10</t>
  </si>
  <si>
    <t>SA239394ABP-U  VA010  2CA  23/10</t>
  </si>
  <si>
    <t>SA170299A(C60/T37/AG3G-U) VA001  1CA 19/10 kt</t>
  </si>
  <si>
    <t>B1123  VA025  4.5T  20/10  31*31+12*16 kt</t>
  </si>
  <si>
    <t>B06B  va079US   2T  23/10  15*16</t>
  </si>
  <si>
    <t>BR1004  VA005 2.5T  22/10  15*17</t>
  </si>
  <si>
    <t>B2782  VB022  1CA 23/10 kt</t>
  </si>
  <si>
    <t>BOC0212  VB001  1CA  21/10 kt</t>
  </si>
  <si>
    <t>SO229159ABMB  VB003US  1.5T  22/10 13*16</t>
  </si>
  <si>
    <t>BNC01(CVC) VB019  16T  5/10-22/10 kt</t>
  </si>
  <si>
    <t>B1NP013  VB002  1CA  22/10 kt</t>
  </si>
  <si>
    <t>SO06093D(BPM20)  vb007 2CA  22/10 2*6</t>
  </si>
  <si>
    <t>BTE(LF)2622  VB001  1CA  21/10  kt</t>
  </si>
  <si>
    <t>BM12B  VA065  11T  25/10</t>
  </si>
  <si>
    <t>BM(50)1069(AA)  VA001  2CA  25/10</t>
  </si>
  <si>
    <t>B2659  VA031  1CA 22/10</t>
  </si>
  <si>
    <t>B2652  VA072  1CA  24/10</t>
  </si>
  <si>
    <t>B3NO009  VB002  1CA  23/10</t>
  </si>
  <si>
    <t>B2868 VB001  1CA  24/10</t>
  </si>
  <si>
    <t>B1124(C60/ETB40)  VA034  7.5T  27/10</t>
  </si>
  <si>
    <t>SO251640BHP100-AA vb001  2ca  22/10 0*3</t>
  </si>
  <si>
    <t>B2NO027  VB002  1CA  24/10</t>
  </si>
  <si>
    <t>BFC13-03(C60/ETB40)  VB012  1CA  22/10 2*3</t>
  </si>
  <si>
    <t>BC04(M50B/T50)  VB002  5T  30/10</t>
  </si>
  <si>
    <t>BM(50)C02 VB002  1CA 21/10</t>
  </si>
  <si>
    <t>BCVC0281(BPM)  VB009  2CA 22/10 kt</t>
  </si>
  <si>
    <t>BSA3871ABPM20  VB031  2CA 23/10 0*6</t>
  </si>
  <si>
    <t>B2621  VB093  1ca  24/10 kt</t>
  </si>
  <si>
    <t>B2829  VB017  6T  20/10-24/10 26*31 kt</t>
  </si>
  <si>
    <t>B1069(OCR)  VA017  2CA  22/10 2*3 kt</t>
  </si>
  <si>
    <t>BPM(20)06B VA002  2CA 22/10 kt</t>
  </si>
  <si>
    <t>B1052  va048  2ca  23/10 0*4</t>
  </si>
  <si>
    <t>SA200871AC60/ETB40-U VA003  1CA  23/10 3*4</t>
  </si>
  <si>
    <t>SA170299A(ERT100-AA-U)  VA001  2CA  22/10 0*4</t>
  </si>
  <si>
    <t>BOCC03  VB020  1CA 25/10</t>
  </si>
  <si>
    <t>BH13  VB003  1CA  25/10</t>
  </si>
  <si>
    <t>B2367  vb042  2ca  26/10</t>
  </si>
  <si>
    <t>BTE(100)1068(AA)  VA001  1CA 25/10</t>
  </si>
  <si>
    <t>BPM04B  VA010  2CA  26/10</t>
  </si>
  <si>
    <t>BC04  VB083  7T  25/10</t>
  </si>
  <si>
    <t>BC04  VB083  7T  26/10</t>
  </si>
  <si>
    <t>BCVC104  VA070  2T  23/10 15*16</t>
  </si>
  <si>
    <t>SA259548AU  VA005  1T  24/10  3*7</t>
  </si>
  <si>
    <t>B1069  va232  1T  24/10  4*7</t>
  </si>
  <si>
    <t>B1124V(EA30)  VA008  2CA  23/10 1*4 kt</t>
  </si>
  <si>
    <t>BCVC12B  VA079  1.5T  24/10  4*10</t>
  </si>
  <si>
    <t>B09B(OCN-AA) VA007 1CA  25/10 kt</t>
  </si>
  <si>
    <t>BM(70M)1068(BPM-AA)  VA016  1CA  24/10 kt</t>
  </si>
  <si>
    <t>BC02 VB130   12/11 kt</t>
  </si>
  <si>
    <t>B0221  VB025  1CA  23/10  0*3</t>
  </si>
  <si>
    <t>B0212 VB063  2CA 25/10</t>
  </si>
  <si>
    <t>SA240274ACVC  VB014  2CA 22/10 0*3 kt</t>
  </si>
  <si>
    <t>BRC04  VB011  1.5T  24/10  13*17</t>
  </si>
  <si>
    <r>
      <rPr>
        <b/>
        <sz val="13"/>
        <color rgb="FFFF0000"/>
        <rFont val="Times New Roman"/>
        <family val="1"/>
      </rPr>
      <t>B</t>
    </r>
    <r>
      <rPr>
        <b/>
        <sz val="13"/>
        <color theme="1"/>
        <rFont val="Times New Roman"/>
        <family val="1"/>
      </rPr>
      <t>11B  VA099  6T 27/10</t>
    </r>
  </si>
  <si>
    <r>
      <rPr>
        <b/>
        <sz val="13"/>
        <color rgb="FFFF0000"/>
        <rFont val="Times New Roman"/>
        <family val="1"/>
      </rPr>
      <t>B</t>
    </r>
    <r>
      <rPr>
        <b/>
        <sz val="13"/>
        <color theme="1"/>
        <rFont val="Times New Roman"/>
        <family val="1"/>
      </rPr>
      <t>11B  VA099  6T 28/10</t>
    </r>
  </si>
  <si>
    <r>
      <rPr>
        <b/>
        <sz val="13"/>
        <color rgb="FFFF0000"/>
        <rFont val="Times New Roman"/>
        <family val="1"/>
      </rPr>
      <t>B</t>
    </r>
    <r>
      <rPr>
        <b/>
        <sz val="13"/>
        <color theme="1"/>
        <rFont val="Times New Roman"/>
        <family val="1"/>
      </rPr>
      <t>11B  VA099  6T 29/10</t>
    </r>
  </si>
  <si>
    <t>B1068  VA147  1CA  24/10</t>
  </si>
  <si>
    <t>B2659 VA032  1CA 26/10</t>
  </si>
  <si>
    <t>BM0212  VA014  1CA  26/10</t>
  </si>
  <si>
    <t>BOC2214  VA005  1CA 25/10</t>
  </si>
  <si>
    <t>SGR92083B  VB187  1CA  24/10</t>
  </si>
  <si>
    <t>BM(50)C02 VB002  1CA 25/10</t>
  </si>
  <si>
    <t>B2653  vb015  1ca  26/10</t>
  </si>
  <si>
    <t>SGR92083B(BPM20)-RM  VB013  1T 24/10 2*8</t>
  </si>
  <si>
    <t>B1029  va030 2ca  24/10  5*8 kt</t>
  </si>
  <si>
    <t>B1119  VA008  2CA  24/10 5*7</t>
  </si>
  <si>
    <t>BPM11B  VA013  2.5T  25/10 14*16</t>
  </si>
  <si>
    <t>BPM(50)07B  VA001  1T  24/10 6*8</t>
  </si>
  <si>
    <t>B07B(GC100)  va005  2ca 26/10</t>
  </si>
  <si>
    <t>BC02(OCR)  vb022  1ca  24/10  0*3</t>
  </si>
  <si>
    <t>SO259561A  vb004  1CA  25/10</t>
  </si>
  <si>
    <t>SGR92083B  VB186  1.5T  24/10 4*8</t>
  </si>
  <si>
    <t>SA219061C  VB038  3.5T  24/10 22*23</t>
  </si>
  <si>
    <t>BM(B)0208  VB003US  2.5T  24/10  14*16</t>
  </si>
  <si>
    <t>BC03  VB106US  1T  26/10  3*8</t>
  </si>
  <si>
    <t>SP259699BCVC35-NP  VB001  1CA  26/10 kt</t>
  </si>
  <si>
    <t>BFC13-03(C60/ETB40) VA013  1CA  26/10</t>
  </si>
  <si>
    <t>BCVC04B  VA093  1CA  25/10</t>
  </si>
  <si>
    <t>SO251216A VB005</t>
  </si>
  <si>
    <t>3M+ 3 JC VB049+3 MODAL</t>
  </si>
  <si>
    <t>B0278  vb092</t>
  </si>
  <si>
    <t>2 GSB 2.0+ 5 JC ÚC A14 +1 JC VB049</t>
  </si>
  <si>
    <t>ÚC A14</t>
  </si>
  <si>
    <t>SGR92083B(BPM20)  VB039</t>
  </si>
  <si>
    <t>2m+5 JC VB048 +1 JC PME</t>
  </si>
  <si>
    <t>PME</t>
  </si>
  <si>
    <t>TNK HH</t>
  </si>
  <si>
    <t>SA239181BBM  VB006</t>
  </si>
  <si>
    <t>B1017(C60/ERT40) VA001  1CA 26/10 kt</t>
  </si>
  <si>
    <r>
      <t xml:space="preserve">BCVCAB066  VA004   </t>
    </r>
    <r>
      <rPr>
        <sz val="13"/>
        <color rgb="FFFF0000"/>
        <rFont val="Times New Roman"/>
        <family val="1"/>
      </rPr>
      <t>sợi B- sợi A</t>
    </r>
    <r>
      <rPr>
        <sz val="13"/>
        <color theme="1"/>
        <rFont val="Times New Roman"/>
        <family val="1"/>
      </rPr>
      <t xml:space="preserve">  1CA  25/10</t>
    </r>
  </si>
  <si>
    <t>BS1062  VA031  2CA  27/10</t>
  </si>
  <si>
    <t>BMC01  vb006  1ca 28/10</t>
  </si>
  <si>
    <t>BMC03  vb030   1ca  29/10</t>
  </si>
  <si>
    <t>B06A(BOC10-AA)  VA106  2CA  28/10</t>
  </si>
  <si>
    <r>
      <t xml:space="preserve">B2798  VB023   </t>
    </r>
    <r>
      <rPr>
        <b/>
        <sz val="15"/>
        <color rgb="FFFF0000"/>
        <rFont val="Times New Roman"/>
        <family val="1"/>
      </rPr>
      <t>CNM 5.0</t>
    </r>
    <r>
      <rPr>
        <b/>
        <sz val="15"/>
        <color theme="1"/>
        <rFont val="Times New Roman"/>
        <family val="1"/>
      </rPr>
      <t xml:space="preserve">  1CA 25/10</t>
    </r>
  </si>
  <si>
    <t>B2794  VB002  2CA  25/10 2*3</t>
  </si>
  <si>
    <t xml:space="preserve">  SA239181BBM  VB006  3T  27/10  9*16</t>
  </si>
  <si>
    <t>B2606 VB001  2CA 25/10 0*3</t>
  </si>
  <si>
    <t>SGR92083B(BPM20)  VB039  2T  29/10 2*16</t>
  </si>
  <si>
    <t>BM(100M)2782  VB004  1.5T  28/10 7*17</t>
  </si>
  <si>
    <t>SA170299A(C60/T37/AG3G-U)  VA002  1CA 25/10 kt</t>
  </si>
  <si>
    <t>BSB4041AERT50/C25/R25-EY-U  VA012  sợi x- XY 1T 25/10 3*7 kt</t>
  </si>
  <si>
    <t>BPM11B  VA014  2CA  26/10 2*4</t>
  </si>
  <si>
    <t>B0284  vb047  1.5T  26/10  6*10</t>
  </si>
  <si>
    <t>B1069 va232  1T  27/10  0*8</t>
  </si>
  <si>
    <t>SA200871ACVC-U  VA044  1CA  26/10 kt</t>
  </si>
  <si>
    <t>B1069(OCN)  VA072  2CA  25/10 1*4</t>
  </si>
  <si>
    <t>B06B  VA078  3T 28/10 11*23</t>
  </si>
  <si>
    <t>BVA004A  VA032 1T 25/10   6*8</t>
  </si>
  <si>
    <t>SA170299A(BM100-AA-U)  VA013  1CA  24/10 0*4 kt</t>
  </si>
  <si>
    <t>B1062(OCN)  VA002  2CA  28/10</t>
  </si>
  <si>
    <t>BVA004A VA033  1CA 29/10</t>
  </si>
  <si>
    <t>BCVC2347  VB046  1T 26/10  3*8</t>
  </si>
  <si>
    <t>BCVC0210  VB013  2CA 27/10</t>
  </si>
  <si>
    <t>BM0210 VB009  1CA 28/10</t>
  </si>
  <si>
    <t>B2622  VB009  1CA  26/10</t>
  </si>
  <si>
    <t>SO239509A  VB001  1CA  27/10</t>
  </si>
  <si>
    <t>B2NPL024W  VB001  1CA  26/10</t>
  </si>
  <si>
    <t>BA37L(CR20-AA-U) VA016 2CA 28/10</t>
  </si>
  <si>
    <t>B2NPL023W  VB001  1CA  27/10 kt</t>
  </si>
  <si>
    <t>BPM0210  VB037  1CA  29/10 kt</t>
  </si>
  <si>
    <t>BVO004B  VB005  1CA  28/10 kt</t>
  </si>
  <si>
    <t>SO35751B(BM100-AA)  VB002  1CA  26/10 kt</t>
  </si>
  <si>
    <t>BC04(M50B/T50)  VB002  5T  28/10 kt</t>
  </si>
  <si>
    <t>SV239206AC60/T37/AG3G-U VA001  1CA 26/10 kt</t>
  </si>
  <si>
    <t>BM12B  VA066  1CA  27/10 kt</t>
  </si>
  <si>
    <t>B04B(AA)  VA137  2CA  30/10 kt</t>
  </si>
  <si>
    <t>B0284(AA)  VA046US  2CA  27/10 1*4</t>
  </si>
  <si>
    <t>BCVC1114  VA001  1T  29/10 kt</t>
  </si>
  <si>
    <t>SA170299A(OCR-U)  VA009  2CA  29/10</t>
  </si>
  <si>
    <t>SGR91885D VB020  1CA 28/10</t>
  </si>
  <si>
    <t>BPM(20)0209  VB005  22T  10/10- 29/10</t>
  </si>
  <si>
    <t>SA259469A  vb007  1T  30/10  3*8</t>
  </si>
  <si>
    <t>SA239066CTC-SD  VB014  1T  27/10 7*8 kt</t>
  </si>
  <si>
    <t>SGR92083B  VB188US  1CA  29/10 kt</t>
  </si>
  <si>
    <t>BR0208  vb001  1ca  28/10 kt</t>
  </si>
  <si>
    <t>BM(50M)0284(BPM)  VA001  1CA 28/10 kt</t>
  </si>
  <si>
    <t>B2652  va073 2CA 28/10  0*4</t>
  </si>
  <si>
    <t>SO41269A(BPM20-U) VA028 2T 29/10 13*16</t>
  </si>
  <si>
    <t>B1067(OCN)  VA021  1T   27/10 5*8 kt</t>
  </si>
  <si>
    <t>B0281  VB099</t>
  </si>
  <si>
    <t>B0208(C60/ETB40)  vb030</t>
  </si>
  <si>
    <t>3m+3 JC VB048+3 POLY 102-2</t>
  </si>
  <si>
    <t xml:space="preserve">SO259231AC60/RE40  VB006 </t>
  </si>
  <si>
    <t>B05  vb086</t>
  </si>
  <si>
    <t>BOC0214  vb007</t>
  </si>
  <si>
    <t>2M +5 JC TNK HH + 1 UGOV-11272</t>
  </si>
  <si>
    <t>B0285(C60/ETB40) vb007</t>
  </si>
  <si>
    <t>B2367  vb043</t>
  </si>
  <si>
    <t>2M+6 JC VB049</t>
  </si>
  <si>
    <t>2M+3 JC VB049+3 POLY 102-2</t>
  </si>
  <si>
    <t>2M+ 3VB049+ 1 JC VB049+2 JC ÚC A14</t>
  </si>
  <si>
    <t>TÍNH CUNG Ứng chải kỹ  28/10</t>
  </si>
  <si>
    <t>chọn máy</t>
  </si>
  <si>
    <t xml:space="preserve">thực tế </t>
  </si>
  <si>
    <t>úc A14</t>
  </si>
  <si>
    <r>
      <rPr>
        <b/>
        <sz val="13"/>
        <color rgb="FFFF0000"/>
        <rFont val="Times New Roman"/>
        <family val="1"/>
      </rPr>
      <t>B</t>
    </r>
    <r>
      <rPr>
        <b/>
        <sz val="13"/>
        <color theme="1"/>
        <rFont val="Times New Roman"/>
        <family val="1"/>
      </rPr>
      <t>1124  VA038  12T  31/10</t>
    </r>
  </si>
  <si>
    <r>
      <rPr>
        <b/>
        <sz val="13"/>
        <color rgb="FFFF0000"/>
        <rFont val="Times New Roman"/>
        <family val="1"/>
      </rPr>
      <t>B</t>
    </r>
    <r>
      <rPr>
        <b/>
        <sz val="13"/>
        <color theme="1"/>
        <rFont val="Times New Roman"/>
        <family val="1"/>
      </rPr>
      <t>1124  VA038  10T  1/11</t>
    </r>
  </si>
  <si>
    <t>BCVC12B VA080   5.5T  2/11</t>
  </si>
  <si>
    <t>SGR41667A(CVC20-XY)  VB049  11T  28/10 kt</t>
  </si>
  <si>
    <t>SGR41667A(CVC20-XY)  VB049  11T  28/10</t>
  </si>
  <si>
    <t>B2621 VB094  1CA 29/10</t>
  </si>
  <si>
    <t>B2366 VB090  1CA 29/10 kt</t>
  </si>
  <si>
    <t>B0201 VB031  1CA 29/10 kt</t>
  </si>
  <si>
    <t>B0281  VB099  11T 23/10-31/10 kt</t>
  </si>
  <si>
    <t>BM(100)2347(AA)  VB009  1CA  29/10 kt</t>
  </si>
  <si>
    <t>SO26095J(U) VA008 1CA  29/10 kt</t>
  </si>
  <si>
    <t>BCVC(40ETB)104(S) va067 1ca 29/10 kt</t>
  </si>
  <si>
    <t>B1016(GC100)  VA003  2CA 30/10 3*4</t>
  </si>
  <si>
    <t>ULV-11518</t>
  </si>
  <si>
    <t>2m+5 JC VB049 +1 VB018</t>
  </si>
  <si>
    <t>B2651 VB012</t>
  </si>
  <si>
    <t>B0284  VA048  2CA  3/11</t>
  </si>
  <si>
    <r>
      <t xml:space="preserve">SP259906ACVC-NPU-BX  VA001  </t>
    </r>
    <r>
      <rPr>
        <b/>
        <sz val="13"/>
        <color rgb="FFFF0000"/>
        <rFont val="Times New Roman"/>
        <family val="1"/>
      </rPr>
      <t>CNM 5.0</t>
    </r>
    <r>
      <rPr>
        <b/>
        <sz val="13"/>
        <color theme="1"/>
        <rFont val="Times New Roman"/>
        <family val="1"/>
      </rPr>
      <t xml:space="preserve">  1CA  30/10</t>
    </r>
  </si>
  <si>
    <r>
      <t xml:space="preserve">SP259908ACVC-NPU-BX  VA001 </t>
    </r>
    <r>
      <rPr>
        <b/>
        <sz val="13"/>
        <color rgb="FFFF0000"/>
        <rFont val="Times New Roman"/>
        <family val="1"/>
      </rPr>
      <t xml:space="preserve">CNM 5.0 </t>
    </r>
    <r>
      <rPr>
        <b/>
        <sz val="13"/>
        <color theme="1"/>
        <rFont val="Times New Roman"/>
        <family val="1"/>
      </rPr>
      <t xml:space="preserve"> 1CA  31/10</t>
    </r>
  </si>
  <si>
    <r>
      <t xml:space="preserve">SP259909ACVC-NPU-BX  VA001 </t>
    </r>
    <r>
      <rPr>
        <b/>
        <sz val="13"/>
        <color rgb="FFFF0000"/>
        <rFont val="Times New Roman"/>
        <family val="1"/>
      </rPr>
      <t>CNM 5.0</t>
    </r>
    <r>
      <rPr>
        <b/>
        <sz val="13"/>
        <color theme="1"/>
        <rFont val="Times New Roman"/>
        <family val="1"/>
      </rPr>
      <t xml:space="preserve">  1CA 1/11</t>
    </r>
  </si>
  <si>
    <t>B0281  VB099  11T 23/10-29/10</t>
  </si>
  <si>
    <t>BC04  VB086  2CA  1/11</t>
  </si>
  <si>
    <t>B06A(M50/C45/OC5-AA) va018  2ca 2/11</t>
  </si>
  <si>
    <t>BCVC(40ETB)102 VA003  1CA 10/11</t>
  </si>
  <si>
    <t>SO259231AC60/RE40  VB006  2T  31/10 15*16</t>
  </si>
  <si>
    <t>B2881  VB013  2T  31/10  13*16</t>
  </si>
  <si>
    <t>B2829  VB014  1CA 31/10 kt</t>
  </si>
  <si>
    <t>B0285(C60/ETB40) vb007  2T  30/10 11*16 kt</t>
  </si>
  <si>
    <t>SO230518C  VB001  1CA  31/10 kt</t>
  </si>
  <si>
    <t>B2367  vb043  2T  1/11 8*16</t>
  </si>
  <si>
    <t>2M+5JC ULV-11518+1 JC PME</t>
  </si>
  <si>
    <t>BPMC15  VB003</t>
  </si>
  <si>
    <t>B1029  va031  1T   30/10 6*10  KT</t>
  </si>
  <si>
    <t>B1119  va009  1T  31/10  5*8</t>
  </si>
  <si>
    <r>
      <t xml:space="preserve">SP259907ACVC-NPT-BX VB001 </t>
    </r>
    <r>
      <rPr>
        <b/>
        <sz val="15"/>
        <color rgb="FFFF0000"/>
        <rFont val="Times New Roman"/>
        <family val="1"/>
      </rPr>
      <t>CNM 5.0</t>
    </r>
    <r>
      <rPr>
        <b/>
        <sz val="15"/>
        <rFont val="Times New Roman"/>
        <family val="1"/>
      </rPr>
      <t xml:space="preserve">   1CA  1/11(SP THƯỜNG) KT</t>
    </r>
  </si>
  <si>
    <t>B1004(GC100)  VA003 2CA  30/10 0*3 KT</t>
  </si>
  <si>
    <t>BM(M)07B(BPM)  VA013  3.5T  31/10 23*26</t>
  </si>
  <si>
    <t>BOC0214  vb007  5T  1/11-3/11</t>
  </si>
  <si>
    <t>BOC0214  vb007  5T  1/11-4/11</t>
  </si>
  <si>
    <t>SA170299A(C60/M20/ETB20-U)  VA006  6T 4/11</t>
  </si>
  <si>
    <t>B1114  VA029  10T 3/11</t>
  </si>
  <si>
    <r>
      <rPr>
        <b/>
        <sz val="13"/>
        <color rgb="FFFF0000"/>
        <rFont val="Times New Roman"/>
        <family val="1"/>
      </rPr>
      <t xml:space="preserve">  </t>
    </r>
    <r>
      <rPr>
        <b/>
        <sz val="16"/>
        <color rgb="FFFF0000"/>
        <rFont val="Times New Roman"/>
        <family val="1"/>
      </rPr>
      <t>B</t>
    </r>
    <r>
      <rPr>
        <b/>
        <sz val="16"/>
        <color theme="1"/>
        <rFont val="Times New Roman"/>
        <family val="1"/>
      </rPr>
      <t>04B</t>
    </r>
    <r>
      <rPr>
        <b/>
        <sz val="13"/>
        <color theme="1"/>
        <rFont val="Times New Roman"/>
        <family val="1"/>
      </rPr>
      <t xml:space="preserve"> VA135  8T  3/11</t>
    </r>
  </si>
  <si>
    <t>B1019 va133  1ca 3 /11</t>
  </si>
  <si>
    <t>B0210(C60/ETB40)  vb004  1ca 2/11</t>
  </si>
  <si>
    <t>B8847  VA027  3T  1/11</t>
  </si>
  <si>
    <t>SGR92083B(CR30-AA)  VB030  1CA  1/11</t>
  </si>
  <si>
    <t>B0212(C60/ERT40) VB001  2CA 3/11</t>
  </si>
  <si>
    <t>BPM(20)0209  VB005  22T  10/10- 2/11 kt</t>
  </si>
  <si>
    <t>B11B(ETB65/R35)  VA001  1CA 11/11</t>
  </si>
  <si>
    <t>BH13 VB004  1CA 30/10</t>
  </si>
  <si>
    <t>B2207 VB019  1CA 30/10</t>
  </si>
  <si>
    <t>B2299 VB047  1CA 30/10</t>
  </si>
  <si>
    <t>B2651  VB012 2T 31/10  14*16</t>
  </si>
  <si>
    <t>BM(M)0278(BPM)  VB008  3T  31/10 18*23 kt</t>
  </si>
  <si>
    <t>B2789 VB019  1CA  31/10 kt</t>
  </si>
  <si>
    <t>SGR92083B  VB190US  1T  31/10 7*8</t>
  </si>
  <si>
    <r>
      <t xml:space="preserve">SP259721ACVC-BD-BX vb001 </t>
    </r>
    <r>
      <rPr>
        <b/>
        <sz val="15"/>
        <color rgb="FFFF0000"/>
        <rFont val="Times New Roman"/>
        <family val="1"/>
      </rPr>
      <t>CNM 4.0</t>
    </r>
    <r>
      <rPr>
        <b/>
        <sz val="15"/>
        <color theme="1"/>
        <rFont val="Times New Roman"/>
        <family val="1"/>
      </rPr>
      <t xml:space="preserve"> 2ca 3/11  0*6</t>
    </r>
  </si>
  <si>
    <t>SO230517D VB001  1CA 1/11 kt</t>
  </si>
  <si>
    <t>BOC(90)C03 VB007  1CA  31/10  kt</t>
  </si>
  <si>
    <t>BM0212 VB015  1CA 31/10  0*4</t>
  </si>
  <si>
    <t>BOC(50)1123(BPM) VA001  1CA 1/11 kt</t>
  </si>
  <si>
    <t>B1004  va015  1ca  4/11 kt</t>
  </si>
  <si>
    <r>
      <rPr>
        <b/>
        <sz val="13"/>
        <color rgb="FFFF0000"/>
        <rFont val="Times New Roman"/>
        <family val="1"/>
      </rPr>
      <t>B</t>
    </r>
    <r>
      <rPr>
        <b/>
        <sz val="13"/>
        <color theme="1"/>
        <rFont val="Times New Roman"/>
        <family val="1"/>
      </rPr>
      <t>1124  VA038  10T  1/11 kt</t>
    </r>
  </si>
  <si>
    <t>B1123 VA026 1T  2/11 kt</t>
  </si>
  <si>
    <t>BM(100)1062(AA)  VA003  1CA 4/11 kt</t>
  </si>
  <si>
    <t>B1069 VA233 2CA 31/10   3*4</t>
  </si>
  <si>
    <t>BCVC04B  VA094  2T  3/11  6*16</t>
  </si>
  <si>
    <t>SA170299A(CVC-U) VA038  1CA 1/11</t>
  </si>
  <si>
    <r>
      <t xml:space="preserve">B1005  VA032  </t>
    </r>
    <r>
      <rPr>
        <b/>
        <sz val="13"/>
        <color rgb="FFFF0000"/>
        <rFont val="Times New Roman"/>
        <family val="1"/>
      </rPr>
      <t>CNM 5.0</t>
    </r>
    <r>
      <rPr>
        <b/>
        <sz val="13"/>
        <color theme="1"/>
        <rFont val="Times New Roman"/>
        <family val="1"/>
      </rPr>
      <t xml:space="preserve">  1CA 2/11</t>
    </r>
  </si>
  <si>
    <t>B02B(BP) VA003 1CA 2/11</t>
  </si>
  <si>
    <t>B2622 VB010  1CA 1/11</t>
  </si>
  <si>
    <t>SA190719A  vb025</t>
  </si>
  <si>
    <t>2M+5 VB018+1 JC VB049</t>
  </si>
  <si>
    <t>úc 996-2</t>
  </si>
  <si>
    <t>BPM(50)C02 VB005 2CA 2/11  0*6</t>
  </si>
  <si>
    <t>BCVC2366 VB021  1T  3/11 kt</t>
  </si>
  <si>
    <t>BPMC15  VB003  2T 3/11  17*23</t>
  </si>
  <si>
    <t>B2F009(AA) VB004 1CA 1/11 0*3</t>
  </si>
  <si>
    <t>SGR92083B VB189  1T  1/11  2*8  kt</t>
  </si>
  <si>
    <t>B0281  VB100  2T 4/11  4*16</t>
  </si>
  <si>
    <t>B2651(C60/ERT40) VB001  2CA 2/11 kt</t>
  </si>
  <si>
    <t>BM(B)0284  VA004  1T   3/11  0*7</t>
  </si>
  <si>
    <r>
      <t xml:space="preserve">B1030  VA020  </t>
    </r>
    <r>
      <rPr>
        <b/>
        <sz val="13"/>
        <color rgb="FFFF0000"/>
        <rFont val="Times New Roman"/>
        <family val="1"/>
      </rPr>
      <t xml:space="preserve">CNM 5.0 </t>
    </r>
    <r>
      <rPr>
        <b/>
        <sz val="13"/>
        <color theme="1"/>
        <rFont val="Times New Roman"/>
        <family val="1"/>
      </rPr>
      <t xml:space="preserve"> 1CA 2/11 kt</t>
    </r>
  </si>
  <si>
    <t>BCVC(40ETB)104  VA068  1CA  2/11 kt</t>
  </si>
  <si>
    <t>BM11B(AA) va006 1T  6/11</t>
  </si>
  <si>
    <t>SV251751AC60/T37/AGD3-U  VB001  1CA  2/11</t>
  </si>
  <si>
    <t>BM(50M)1123(BPM) VA004  1T 4/11</t>
  </si>
  <si>
    <t>SA241541ABPM-U VA001  1CA 5/11</t>
  </si>
  <si>
    <t>BTC2220 VB001  1CA 4/11</t>
  </si>
  <si>
    <t>BPM2212 vb007us  1ca 2/11</t>
  </si>
  <si>
    <t>B2282(OCR) VB007UA  2CA 3/11</t>
  </si>
  <si>
    <t>SGR92083B(BPM20)-RM  VB014  1T  3/11 1*8</t>
  </si>
  <si>
    <t>SA259862B VB001  1CA 2/11</t>
  </si>
  <si>
    <t>SA259857A VB001 1CA 2/11</t>
  </si>
  <si>
    <t>B1NP011  VB002  2CA  3/11</t>
  </si>
  <si>
    <t>cự ly 10x23x30</t>
  </si>
  <si>
    <t>B2347  VB101  1CA  7/11</t>
  </si>
  <si>
    <r>
      <rPr>
        <b/>
        <sz val="15"/>
        <color rgb="FFFF0000"/>
        <rFont val="Times New Roman"/>
        <family val="1"/>
      </rPr>
      <t>B</t>
    </r>
    <r>
      <rPr>
        <b/>
        <sz val="15"/>
        <color theme="1"/>
        <rFont val="Times New Roman"/>
        <family val="1"/>
      </rPr>
      <t>C02 VB130 45T   8/9-2/11 kt</t>
    </r>
  </si>
  <si>
    <t>B1NP012  VB015  2CA  3/11 kt</t>
  </si>
  <si>
    <t>BPM03 VB011  1CA 3/11 kt</t>
  </si>
  <si>
    <t>B0208(C60/ETB40)  vb030  7T  30/10-3/11 kt</t>
  </si>
  <si>
    <r>
      <rPr>
        <b/>
        <sz val="15"/>
        <color rgb="FFFF0000"/>
        <rFont val="Times New Roman"/>
        <family val="1"/>
      </rPr>
      <t>B</t>
    </r>
    <r>
      <rPr>
        <b/>
        <sz val="15"/>
        <rFont val="Times New Roman"/>
        <family val="1"/>
      </rPr>
      <t>C03  VB102  23T   13/10-2/11</t>
    </r>
  </si>
  <si>
    <t>B1NAC19 VB001  sợi X-XY  2CA 4/11 kt</t>
  </si>
  <si>
    <r>
      <t xml:space="preserve">B0221  VB023   </t>
    </r>
    <r>
      <rPr>
        <b/>
        <sz val="15"/>
        <color rgb="FFFF0000"/>
        <rFont val="Times New Roman"/>
        <family val="1"/>
      </rPr>
      <t>CNM 5.0</t>
    </r>
    <r>
      <rPr>
        <b/>
        <sz val="15"/>
        <color theme="1"/>
        <rFont val="Times New Roman"/>
        <family val="1"/>
      </rPr>
      <t xml:space="preserve">  1CA  4/11  kt</t>
    </r>
  </si>
  <si>
    <t>BPM2366 VB012  2T 4/11  2*16  kt</t>
  </si>
  <si>
    <t>SO259138ABM-AA VB001  1CA 5/11 kt</t>
  </si>
  <si>
    <t>SO259951ABM-AA VB001 1CA 2/11 kt</t>
  </si>
  <si>
    <t>B2652  va073 sợi B  2CA 2/11  0*4 kt</t>
  </si>
  <si>
    <t>SA192462ABTE100LF-U VA005  2CA  3/11  3*4</t>
  </si>
  <si>
    <t>B1034(GC100) VA004  2CA 2/11 kt</t>
  </si>
  <si>
    <t>B04B(ETB65/R35) VA001 1CA 3/11 3*4</t>
  </si>
  <si>
    <t>SA251427BBPM-U va001  1ca 4/11</t>
  </si>
  <si>
    <t>B2NPL023 VB001  1CA 4/11</t>
  </si>
  <si>
    <t>B0278  vb092  15T  26/10-6/11</t>
  </si>
  <si>
    <t>B1124(C60/ETB40)  va035  12T  3/11 kt</t>
  </si>
  <si>
    <t>SV239206AAG3G-U  VA003  1CA 19/10</t>
  </si>
  <si>
    <t>B1069 VA234  1CA 5/11</t>
  </si>
  <si>
    <t>SA200871AU  VA091 2CA 4/11</t>
  </si>
  <si>
    <t>B0211 VB001  1CA  4/11</t>
  </si>
  <si>
    <t>SO206441A  vb001  1ca  5/11</t>
  </si>
  <si>
    <t>B2651 VB013  1CA 4/11</t>
  </si>
  <si>
    <t>SA209082B VB039  2CA 6/11</t>
  </si>
  <si>
    <t>B6F009B(AA)  va002   1ca 4 /11</t>
  </si>
  <si>
    <t>BC02C6(NP)  vb001  1ca  14/11</t>
  </si>
  <si>
    <r>
      <t xml:space="preserve">SG259952ABM-AA-U VA001 </t>
    </r>
    <r>
      <rPr>
        <b/>
        <sz val="13"/>
        <color rgb="FFFF0000"/>
        <rFont val="Times New Roman"/>
        <family val="1"/>
      </rPr>
      <t>cnm 5.0</t>
    </r>
    <r>
      <rPr>
        <b/>
        <sz val="13"/>
        <color theme="1"/>
        <rFont val="Times New Roman"/>
        <family val="1"/>
      </rPr>
      <t xml:space="preserve"> 1ca 4/11</t>
    </r>
  </si>
  <si>
    <t>SGR92083B  VB192 1CA  4/11 kt</t>
  </si>
  <si>
    <t>BC04(OCN5) vb002  1ca  5/11 kt</t>
  </si>
  <si>
    <t>BNC01  VB047  1CA  5/11 kt</t>
  </si>
  <si>
    <t>SO251993BBPM VB001  1CA 4/11 kt</t>
  </si>
  <si>
    <t>B2366 VB091  1CA 6/11 kt</t>
  </si>
  <si>
    <t>BOC0285(ZR) VB001 1CA   4/11 kt</t>
  </si>
  <si>
    <t>BVA004N va012  1ca 4/11 kt</t>
  </si>
  <si>
    <t>BCVC06B VA030  4T 5/11 6*6+4*7+1 kt</t>
  </si>
  <si>
    <t>SA200871ACVC-U  VA045  2CA  12/11 kt</t>
  </si>
  <si>
    <t>SA200871ABPM30-U VA001 1CA 5/11 kt</t>
  </si>
  <si>
    <t>B1068 VA148  2T 6/11  12*15</t>
  </si>
  <si>
    <t>BM12B va067  2T  5/11  18*23</t>
  </si>
  <si>
    <t>B2NO019(OCR) vb008 1ca 5/11</t>
  </si>
  <si>
    <r>
      <t xml:space="preserve">B2772  VB001  </t>
    </r>
    <r>
      <rPr>
        <b/>
        <sz val="15"/>
        <color rgb="FFFF0000"/>
        <rFont val="Times New Roman"/>
        <family val="1"/>
      </rPr>
      <t>CNM</t>
    </r>
    <r>
      <rPr>
        <b/>
        <sz val="15"/>
        <color theme="1"/>
        <rFont val="Times New Roman"/>
        <family val="1"/>
      </rPr>
      <t xml:space="preserve">  5.0  1CA  6/11</t>
    </r>
  </si>
  <si>
    <r>
      <t xml:space="preserve">B2797  VB003  </t>
    </r>
    <r>
      <rPr>
        <b/>
        <sz val="15"/>
        <color rgb="FFFF0000"/>
        <rFont val="Times New Roman"/>
        <family val="1"/>
      </rPr>
      <t>CNM</t>
    </r>
    <r>
      <rPr>
        <b/>
        <sz val="15"/>
        <color theme="1"/>
        <rFont val="Times New Roman"/>
        <family val="1"/>
      </rPr>
      <t xml:space="preserve">  5.0  1CA  6/11</t>
    </r>
  </si>
  <si>
    <t>BPM(50)C02  vb006  1ca  7/11</t>
  </si>
  <si>
    <t>B2347(C60/ETB40-AA) vb025  1ca  5/11</t>
  </si>
  <si>
    <t>B0283 VB048  2CA 7/11</t>
  </si>
  <si>
    <t>B0212  vb064  1ca  8/11</t>
  </si>
  <si>
    <r>
      <rPr>
        <b/>
        <sz val="13"/>
        <color rgb="FFFF0000"/>
        <rFont val="Times New Roman"/>
        <family val="1"/>
      </rPr>
      <t>B</t>
    </r>
    <r>
      <rPr>
        <b/>
        <sz val="13"/>
        <color theme="1"/>
        <rFont val="Times New Roman"/>
        <family val="1"/>
      </rPr>
      <t>09B  VA115  7T 8/11</t>
    </r>
  </si>
  <si>
    <r>
      <rPr>
        <b/>
        <sz val="13"/>
        <color rgb="FFFF0000"/>
        <rFont val="Times New Roman"/>
        <family val="1"/>
      </rPr>
      <t>B</t>
    </r>
    <r>
      <rPr>
        <b/>
        <sz val="13"/>
        <color theme="1"/>
        <rFont val="Times New Roman"/>
        <family val="1"/>
      </rPr>
      <t>09B  VA115  7T 9/11</t>
    </r>
  </si>
  <si>
    <r>
      <rPr>
        <b/>
        <sz val="13"/>
        <color rgb="FFFF0000"/>
        <rFont val="Times New Roman"/>
        <family val="1"/>
      </rPr>
      <t xml:space="preserve">  </t>
    </r>
    <r>
      <rPr>
        <b/>
        <sz val="16"/>
        <color rgb="FFFF0000"/>
        <rFont val="Times New Roman"/>
        <family val="1"/>
      </rPr>
      <t>B</t>
    </r>
    <r>
      <rPr>
        <b/>
        <sz val="16"/>
        <color theme="1"/>
        <rFont val="Times New Roman"/>
        <family val="1"/>
      </rPr>
      <t>04B</t>
    </r>
    <r>
      <rPr>
        <b/>
        <sz val="13"/>
        <color theme="1"/>
        <rFont val="Times New Roman"/>
        <family val="1"/>
      </rPr>
      <t xml:space="preserve"> VA135  8T  5/11</t>
    </r>
  </si>
  <si>
    <r>
      <rPr>
        <b/>
        <sz val="13"/>
        <color rgb="FFFF0000"/>
        <rFont val="Times New Roman"/>
        <family val="1"/>
      </rPr>
      <t xml:space="preserve">  </t>
    </r>
    <r>
      <rPr>
        <b/>
        <sz val="16"/>
        <color rgb="FFFF0000"/>
        <rFont val="Times New Roman"/>
        <family val="1"/>
      </rPr>
      <t>B</t>
    </r>
    <r>
      <rPr>
        <b/>
        <sz val="16"/>
        <color theme="1"/>
        <rFont val="Times New Roman"/>
        <family val="1"/>
      </rPr>
      <t>04B</t>
    </r>
    <r>
      <rPr>
        <b/>
        <sz val="13"/>
        <color theme="1"/>
        <rFont val="Times New Roman"/>
        <family val="1"/>
      </rPr>
      <t xml:space="preserve"> VA135  8T  5/11 </t>
    </r>
  </si>
  <si>
    <t>BC04  VB087   1CA 6/11 kt</t>
  </si>
  <si>
    <t>SA259853A VB001 1CA 7/11 kt</t>
  </si>
  <si>
    <t>BTCC02 VB051  3T  7/11  19*23</t>
  </si>
  <si>
    <t>B0221  vb026  4T  7/11 14*23 kt</t>
  </si>
  <si>
    <t>SO259233A  VB003  2CA 5/11 kt</t>
  </si>
  <si>
    <t>B2347  VB102UA   2ca   6/11 0*3</t>
  </si>
  <si>
    <r>
      <t xml:space="preserve">B2385  VB030  </t>
    </r>
    <r>
      <rPr>
        <b/>
        <sz val="15"/>
        <color rgb="FFFF0000"/>
        <rFont val="Times New Roman"/>
        <family val="1"/>
      </rPr>
      <t>CNM</t>
    </r>
    <r>
      <rPr>
        <b/>
        <sz val="15"/>
        <color theme="1"/>
        <rFont val="Times New Roman"/>
        <family val="1"/>
      </rPr>
      <t xml:space="preserve">  5.0  1CA  7/11</t>
    </r>
  </si>
  <si>
    <t>B0212(C60/ETB40)  vb005  1ca  6/11 0*3</t>
  </si>
  <si>
    <t>BM0212  VB016  1CA  7/11</t>
  </si>
  <si>
    <t>SA190719A  vb025  8T  7/11-8/11</t>
  </si>
  <si>
    <t>SA190719A  vb025  8T  7/11-9/11</t>
  </si>
  <si>
    <t>SO206380AS VB001  2CA 6/11</t>
  </si>
  <si>
    <r>
      <t>SA259681CC60/T37/AG</t>
    </r>
    <r>
      <rPr>
        <sz val="13"/>
        <color rgb="FFFF0000"/>
        <rFont val="Times New Roman"/>
        <family val="1"/>
      </rPr>
      <t>D3</t>
    </r>
    <r>
      <rPr>
        <sz val="13"/>
        <color theme="1"/>
        <rFont val="Times New Roman"/>
        <family val="1"/>
      </rPr>
      <t>-U  VA001  1CA 1/11 kt</t>
    </r>
  </si>
  <si>
    <r>
      <t>SA259681CAG</t>
    </r>
    <r>
      <rPr>
        <sz val="13"/>
        <color rgb="FFFF0000"/>
        <rFont val="Times New Roman"/>
        <family val="1"/>
      </rPr>
      <t>D3</t>
    </r>
    <r>
      <rPr>
        <sz val="13"/>
        <color theme="1"/>
        <rFont val="Times New Roman"/>
        <family val="1"/>
      </rPr>
      <t>-U  va001  2ca  3/11 kt</t>
    </r>
  </si>
  <si>
    <t>B0209 vb049  1T  10/11</t>
  </si>
  <si>
    <t>BOC2797  VB001  2CA 7/11</t>
  </si>
  <si>
    <t>B1068  va149ua 1ca 7/11 KT</t>
  </si>
  <si>
    <r>
      <t xml:space="preserve">SG259953ABM-AA-U  VA001 </t>
    </r>
    <r>
      <rPr>
        <b/>
        <sz val="13"/>
        <color rgb="FFFF0000"/>
        <rFont val="Times New Roman"/>
        <family val="1"/>
      </rPr>
      <t>cnm 5.0</t>
    </r>
    <r>
      <rPr>
        <b/>
        <sz val="13"/>
        <color theme="1"/>
        <rFont val="Times New Roman"/>
        <family val="1"/>
      </rPr>
      <t xml:space="preserve"> 1ca 5/11 KT</t>
    </r>
  </si>
  <si>
    <t>B1069(OCR) VA018  1T 6/11 0*7 KT</t>
  </si>
  <si>
    <t>BR09B  VA001  1CA 4/11 2*4 KT</t>
  </si>
  <si>
    <t>B02B  va144  1T 7/11 1*6 KT</t>
  </si>
  <si>
    <t>BM(50)07B(AA) VA012  13T   6/11 KT</t>
  </si>
  <si>
    <t>B0284(OCR)  VA010 2T 6/11 11*16 KT</t>
  </si>
  <si>
    <t>đại tu 5/11 +đổi cự ly 10 KT</t>
  </si>
  <si>
    <t>SA259437A VB007 2CA 6/11  7*8</t>
  </si>
  <si>
    <t>SO259375BBPM20 VB004  1.5T 7/11  13*16</t>
  </si>
  <si>
    <t>BNC01(CVC) VB020 1T  6/11  4*8 KT</t>
  </si>
  <si>
    <t>BPM(50)C02PC vb001  1ca  8/11 KT</t>
  </si>
  <si>
    <t>B0278  vb092 10T 29/10-7/11 KT</t>
  </si>
  <si>
    <t>BPM2212 VB007us 2ca 7/11  0*3</t>
  </si>
  <si>
    <t>BM(100M)C03  VB003 1T 7/11  4*9  KT</t>
  </si>
  <si>
    <r>
      <t xml:space="preserve">B2623  VB097  </t>
    </r>
    <r>
      <rPr>
        <b/>
        <sz val="15"/>
        <color rgb="FFFF0000"/>
        <rFont val="Times New Roman"/>
        <family val="1"/>
      </rPr>
      <t>CNM  5.0</t>
    </r>
    <r>
      <rPr>
        <b/>
        <sz val="15"/>
        <color theme="1"/>
        <rFont val="Times New Roman"/>
        <family val="1"/>
      </rPr>
      <t xml:space="preserve">  1CA  7/11 0*3</t>
    </r>
  </si>
  <si>
    <t>B0202 vb038  1ca 9/11</t>
  </si>
  <si>
    <r>
      <t xml:space="preserve">B2347  VB097  </t>
    </r>
    <r>
      <rPr>
        <b/>
        <sz val="15"/>
        <color rgb="FFFF0000"/>
        <rFont val="Times New Roman"/>
        <family val="1"/>
      </rPr>
      <t>CNM  5.0</t>
    </r>
    <r>
      <rPr>
        <b/>
        <sz val="15"/>
        <color theme="1"/>
        <rFont val="Times New Roman"/>
        <family val="1"/>
      </rPr>
      <t xml:space="preserve">  1CA  7/11 kt</t>
    </r>
  </si>
  <si>
    <t>B0281 vb102  1ca  6/11</t>
  </si>
  <si>
    <t>SGR92083B  VB191  2CA  7/11  0*3</t>
  </si>
  <si>
    <t>BM0210 VB010  2CA 7/11 kt</t>
  </si>
  <si>
    <t>SO259874B VB001 1CA 9/11 kt</t>
  </si>
  <si>
    <t>B0210  vb148  3T 7/11  21*23</t>
  </si>
  <si>
    <t>B2347  VB103  1.5T   7/11  7*8</t>
  </si>
  <si>
    <t>B0295(OCR) vb004 1T  8/11  1*8 kt</t>
  </si>
  <si>
    <t>SA190719A  vb025  8T  7/11-8/11 kt</t>
  </si>
  <si>
    <t>B07B(AG3G)  va001  1ca  7/11 kt</t>
  </si>
  <si>
    <t>BTC12B VA065  2T 7/11   13*16 kt</t>
  </si>
  <si>
    <r>
      <t xml:space="preserve">BCVC06B VA030 </t>
    </r>
    <r>
      <rPr>
        <b/>
        <sz val="13"/>
        <color rgb="FFFF0000"/>
        <rFont val="Times New Roman"/>
        <family val="1"/>
      </rPr>
      <t>sợi</t>
    </r>
    <r>
      <rPr>
        <b/>
        <sz val="13"/>
        <color theme="1"/>
        <rFont val="Times New Roman"/>
        <family val="1"/>
      </rPr>
      <t xml:space="preserve"> </t>
    </r>
    <r>
      <rPr>
        <b/>
        <sz val="13"/>
        <color rgb="FFFF0000"/>
        <rFont val="Times New Roman"/>
        <family val="1"/>
      </rPr>
      <t>B</t>
    </r>
    <r>
      <rPr>
        <b/>
        <sz val="13"/>
        <color theme="1"/>
        <rFont val="Times New Roman"/>
        <family val="1"/>
      </rPr>
      <t xml:space="preserve"> 2T 8/11 7*7+3*7 kt</t>
    </r>
  </si>
  <si>
    <t>SA170299A(ERT100-AA-U) VA002 2CA 7/11  1*4</t>
  </si>
  <si>
    <t>SO259245A-RM  VB002  2CA 9/11</t>
  </si>
  <si>
    <t>SGR92083B VB193  2CA 9/11</t>
  </si>
  <si>
    <t>B2367  VB044  1CA 8/11</t>
  </si>
  <si>
    <t>B1069(OCN) va073 2ca 9/11</t>
  </si>
  <si>
    <t>SA259890AU  va001  2ca 10/11</t>
  </si>
  <si>
    <t>BTRC03  VB001  1CA  18/11</t>
  </si>
  <si>
    <t xml:space="preserve">BOC(80)C02(AA)  VB018 </t>
  </si>
  <si>
    <t>2M+6 JC TT VB019 MỸ</t>
  </si>
  <si>
    <t>JC TT VB019 MỸ</t>
  </si>
  <si>
    <t>BPM03  VB010US</t>
  </si>
  <si>
    <t>2M+1JC ULV-11660M+ 5JC ULC-11518</t>
  </si>
  <si>
    <t xml:space="preserve">BOC0214 VB008 </t>
  </si>
  <si>
    <t>2M20g+ 5 JC TNK VH024 + 1 UGOV-11272</t>
  </si>
  <si>
    <t>TNK vh024</t>
  </si>
  <si>
    <t>SA192462ABTE100LF-U  VA006  1.5T  9/11  3*8 kt</t>
  </si>
  <si>
    <t>B04B(AA)  va138  1ca  8/11 0*4 kt</t>
  </si>
  <si>
    <t>B1124(C60/ETB40)  va036 2ca 8/11  3*4</t>
  </si>
  <si>
    <t>B09B(C60/ETB40) va025  1ca  7/11</t>
  </si>
  <si>
    <t>SA200871AC60/ERT40-U  VA028  5T  9/11 25*31</t>
  </si>
  <si>
    <t>B1069(OCR)  va019  2ca 8/11  0*4</t>
  </si>
  <si>
    <t>B1069 VA235US  1T  11/11</t>
  </si>
  <si>
    <t>SO26095J(CVC-U) VA003 1CA 8/11 kt</t>
  </si>
  <si>
    <t>BOC(80)C02(AA)  VB018 3T  9/11 16*23</t>
  </si>
  <si>
    <t>B01-RM  VB004  3T  11/11  21*23+8</t>
  </si>
  <si>
    <t>BC03  va107  2ca 10/11 kt</t>
  </si>
  <si>
    <t>BTCC02(BOC) VB001  1CA 8/11 kt</t>
  </si>
  <si>
    <t>SA240274ACVC VB015 3T 9/11 22*23 kt</t>
  </si>
  <si>
    <t>B2866 VB022  2CA  9/11  kt</t>
  </si>
  <si>
    <t>B0279  VB050 1T 10/11  0*8</t>
  </si>
  <si>
    <r>
      <t xml:space="preserve">B2873  VB001  </t>
    </r>
    <r>
      <rPr>
        <b/>
        <sz val="15"/>
        <color rgb="FFFF0000"/>
        <rFont val="Times New Roman"/>
        <family val="1"/>
      </rPr>
      <t>CNM  5.0</t>
    </r>
    <r>
      <rPr>
        <b/>
        <sz val="15"/>
        <color theme="1"/>
        <rFont val="Times New Roman"/>
        <family val="1"/>
      </rPr>
      <t xml:space="preserve">  1CA  8/11 0*3</t>
    </r>
  </si>
  <si>
    <r>
      <t xml:space="preserve">B2401  VB021  </t>
    </r>
    <r>
      <rPr>
        <b/>
        <sz val="15"/>
        <color rgb="FFFF0000"/>
        <rFont val="Times New Roman"/>
        <family val="1"/>
      </rPr>
      <t>CNM  5.0</t>
    </r>
    <r>
      <rPr>
        <b/>
        <sz val="15"/>
        <color theme="1"/>
        <rFont val="Times New Roman"/>
        <family val="1"/>
      </rPr>
      <t xml:space="preserve">  1CA  9/11</t>
    </r>
  </si>
  <si>
    <r>
      <t xml:space="preserve">B2886  VB021  </t>
    </r>
    <r>
      <rPr>
        <b/>
        <sz val="15"/>
        <color rgb="FFFF0000"/>
        <rFont val="Times New Roman"/>
        <family val="1"/>
      </rPr>
      <t>CNM  5.0</t>
    </r>
    <r>
      <rPr>
        <b/>
        <sz val="15"/>
        <color theme="1"/>
        <rFont val="Times New Roman"/>
        <family val="1"/>
      </rPr>
      <t xml:space="preserve">  1CA 9/11</t>
    </r>
  </si>
  <si>
    <t>B0210(OCR)  VB023 1T 11/11 kt</t>
  </si>
  <si>
    <t>B2829  VB018  1T  8/11 2*8 kt</t>
  </si>
  <si>
    <t>SA190719A  vb025  8T  7/11-10/11 kt</t>
  </si>
  <si>
    <t>BCVC0212 VB009  1T  9/11  0*8 kt</t>
  </si>
  <si>
    <t>BTM(60)C03(AA) VB005 1CA 8/11 kt</t>
  </si>
  <si>
    <t>BPM0210  VB038  1CA  9/11</t>
  </si>
  <si>
    <t>B2621  VB095  1CA 9/11.</t>
  </si>
  <si>
    <t>B2524  VB001  1CA  9/11</t>
  </si>
  <si>
    <t>B2347  VB104  1CA  9/11</t>
  </si>
  <si>
    <t>B2874(AA)  VB010US 1CA  10/11</t>
  </si>
  <si>
    <t>B06G(FH18)(BOC20-AA) VB025  14T  6/11-12/11</t>
  </si>
  <si>
    <t>B06G(FH18)(BOC20-AA) VB025  14T  6/11-13/11</t>
  </si>
  <si>
    <t>B06A(T65/TE35-AA) va016  1ca  9/11</t>
  </si>
  <si>
    <t>SA239394ABP-U  VA011  2CA  10/11</t>
  </si>
  <si>
    <t>BA37L(C60/ERT40-AA-U) VA017  2CA 10/11</t>
  </si>
  <si>
    <t>B1004 VA216  1CA 10/11</t>
  </si>
  <si>
    <t>SO41269A(U)  VA055  1CA  11/11</t>
  </si>
  <si>
    <t>BPM(20)06B VA003 1CA 12/11</t>
  </si>
  <si>
    <t>B12B  VA157  7T  11/11</t>
  </si>
  <si>
    <t>BOC(90)C02  VB041  2CA  10/11  kt</t>
  </si>
  <si>
    <t>BM0281 VB005  1CA 10/11</t>
  </si>
  <si>
    <t>BM0212  VB017  1CA 10/11 kt</t>
  </si>
  <si>
    <t>B2366  vb092  2ca 10/11  kt</t>
  </si>
  <si>
    <t>B0216  VB012  1CA 18/11  kt</t>
  </si>
  <si>
    <t>BPM(20)0209 VB006  15 búp 2T   13/11  3*15 kt</t>
  </si>
  <si>
    <t>BPM(20)0209 VB006  16 búp 2T   11/11  6*16 kt</t>
  </si>
  <si>
    <t>BCVC0281(BPM) VB010 1T 11/11  kt</t>
  </si>
  <si>
    <t>BTR(50)C02(AA)  VB001  1CA 18/11 0*4</t>
  </si>
  <si>
    <t>SA259905BCR50-U VA001  11 BÚP   1.5T 13/11  kt</t>
  </si>
  <si>
    <t>BSB4041AERT50/C25/R25-EY-U VA013  sợi x-xy  1CA 11/11 kt</t>
  </si>
  <si>
    <t>BM1062 VA002  2CA 11/11  0*4</t>
  </si>
  <si>
    <t>SO259876A  VB001  1CA 12/11</t>
  </si>
  <si>
    <t>SO259865A  VB001  1CA 13/11</t>
  </si>
  <si>
    <t>SA170299A(U)  va051  2ca  12/11</t>
  </si>
  <si>
    <t>B2652  va074  1ca 11/11</t>
  </si>
  <si>
    <t>BA37L(CR20-AA-U) VA017 2CA 10/11  1*4</t>
  </si>
  <si>
    <t>B1052  va049  1ca  12/11</t>
  </si>
  <si>
    <t>BOC(90)C03  VB008  1CA 11/11 kt</t>
  </si>
  <si>
    <r>
      <t>B2796 vb022</t>
    </r>
    <r>
      <rPr>
        <b/>
        <sz val="15"/>
        <color rgb="FFFF0000"/>
        <rFont val="Times New Roman"/>
        <family val="1"/>
      </rPr>
      <t xml:space="preserve"> CNM 5.0</t>
    </r>
    <r>
      <rPr>
        <b/>
        <sz val="15"/>
        <color theme="1"/>
        <rFont val="Times New Roman"/>
        <family val="1"/>
      </rPr>
      <t xml:space="preserve">  1CA  14/11 kt</t>
    </r>
  </si>
  <si>
    <t>BOC0285(ZR)  VB002  1CA 11/11  kt</t>
  </si>
  <si>
    <t>BSO4155ABOC10 VB002  1CA 11/11 kt</t>
  </si>
  <si>
    <t>BTR2401 VB001  1CA  16/11 kt</t>
  </si>
  <si>
    <t>B12B  VA157  7T  12/11 kt</t>
  </si>
  <si>
    <t>SA259905BCR50-U VA001  12 BÚP   1.5T 10/11 10*12 kt</t>
  </si>
  <si>
    <t>B1068  VA150  2CA 11/11 0*4</t>
  </si>
  <si>
    <t>B0284  va050  2ca  12/11</t>
  </si>
  <si>
    <r>
      <rPr>
        <b/>
        <sz val="15"/>
        <color rgb="FFFF0000"/>
        <rFont val="Times New Roman"/>
        <family val="1"/>
      </rPr>
      <t>B</t>
    </r>
    <r>
      <rPr>
        <b/>
        <sz val="15"/>
        <color theme="1"/>
        <rFont val="Times New Roman"/>
        <family val="1"/>
      </rPr>
      <t>C03  VB103  13T  8/11-15/11</t>
    </r>
  </si>
  <si>
    <t>B05  vb086  22T   1/11-14/11</t>
  </si>
  <si>
    <t>BOC0214  VB008 8T 13/11-14/11</t>
  </si>
  <si>
    <t>B0278(GC100)  vb001GEC  2CA 15/11</t>
  </si>
  <si>
    <t>SO259939A VB001  1CA 14/11</t>
  </si>
  <si>
    <t>SO206427I  VB041 2CA  15/11</t>
  </si>
  <si>
    <t>B0460(C60/ERT40) va001 1ca 12/11</t>
  </si>
  <si>
    <t>BC04  VB089</t>
  </si>
  <si>
    <t>BC02  VB143UA</t>
  </si>
  <si>
    <t>TT ÚC V-11731A</t>
  </si>
  <si>
    <t>BCVC0208  VB059</t>
  </si>
  <si>
    <t>2M+3 JC VB049+3 poly 213</t>
  </si>
  <si>
    <t xml:space="preserve">BC04(D)  VB009 </t>
  </si>
  <si>
    <t>4m+4 JC TT VB020</t>
  </si>
  <si>
    <t>TT VB020</t>
  </si>
  <si>
    <t>B0210  VB149</t>
  </si>
  <si>
    <t>2M + JC VB049</t>
  </si>
  <si>
    <t>B0208  vb084US</t>
  </si>
  <si>
    <t>B0281  VB101</t>
  </si>
  <si>
    <t>B2401 VB023UA</t>
  </si>
  <si>
    <t>BOC0214  VB008</t>
  </si>
  <si>
    <t>2m+5 JC TNK VH024 +1 TT UGOV</t>
  </si>
  <si>
    <t>4M+4 JC ÚC  996-2</t>
  </si>
  <si>
    <t>BOC2367  VB003</t>
  </si>
  <si>
    <t>2M+6 TNK VH024</t>
  </si>
  <si>
    <t>B2651  VB014</t>
  </si>
  <si>
    <t>16-21.</t>
  </si>
  <si>
    <t>SO230518C  VB002  1CA  23/11</t>
  </si>
  <si>
    <t>B06A(M50/C45/OC5-AA)  VA019  1T  13/11 kt</t>
  </si>
  <si>
    <t>BA01  VA006  45T  12/11 kt</t>
  </si>
  <si>
    <t>BA01  VA006  45T  13/11 kt</t>
  </si>
  <si>
    <t>B0284  va049US  2CA  13/11  2*7 kt</t>
  </si>
  <si>
    <t>SA248530ABM100-U  VA004  2CA  12/11 0*4 kt</t>
  </si>
  <si>
    <t>SA259548AU VA006 2CA 13/11  1*4</t>
  </si>
  <si>
    <t>BM1068(AA) VA006 2CA 13/11 0*4</t>
  </si>
  <si>
    <t>BSA3871ABPM20 VB032 1T 12/11 7*8 kt</t>
  </si>
  <si>
    <t>BPM03  VB010US  4T  13/11 24*31 kt</t>
  </si>
  <si>
    <t>B2878 VB009  2CA 13/11  3*6</t>
  </si>
  <si>
    <r>
      <rPr>
        <b/>
        <sz val="15"/>
        <color rgb="FFFF0000"/>
        <rFont val="Times New Roman"/>
        <family val="1"/>
      </rPr>
      <t>B</t>
    </r>
    <r>
      <rPr>
        <b/>
        <sz val="15"/>
        <color theme="1"/>
        <rFont val="Times New Roman"/>
        <family val="1"/>
      </rPr>
      <t>C02 VB139  KT</t>
    </r>
  </si>
  <si>
    <t>B0208  vb084  4.5T 12/11  29*31</t>
  </si>
  <si>
    <t>B0285(OCN) VB001  1CA 16/11</t>
  </si>
  <si>
    <t>B06A(BOC20-AA)  VA023  2CA 12/11  1*4</t>
  </si>
  <si>
    <t>BPM(20)06B va004 1ca  12/11</t>
  </si>
  <si>
    <t>B1124(OCR)  va004  1ca  13/11</t>
  </si>
  <si>
    <t>SA259882A  VB001  1CA 15/11</t>
  </si>
  <si>
    <t>SGR92083B  vb194 2CA 13/11 0*3</t>
  </si>
  <si>
    <t>BC02  VB143UA  2T  16/11  3*16</t>
  </si>
  <si>
    <r>
      <t xml:space="preserve">BCVC0208 VB059 </t>
    </r>
    <r>
      <rPr>
        <sz val="15"/>
        <color rgb="FFFF0000"/>
        <rFont val="Times New Roman"/>
        <family val="1"/>
      </rPr>
      <t>chạy trước 25LB</t>
    </r>
    <r>
      <rPr>
        <sz val="15"/>
        <color theme="1"/>
        <rFont val="Times New Roman"/>
        <family val="1"/>
      </rPr>
      <t xml:space="preserve"> - còn lại  5T 10/11-18/11 17*31 kt</t>
    </r>
  </si>
  <si>
    <t>B1NA001(CVC)  VB001 sợi X-XY  2CA 13/11 1*3 kt</t>
  </si>
  <si>
    <t>B0210  vb149  4T 14/11  15*23 kt</t>
  </si>
  <si>
    <r>
      <t xml:space="preserve">SO152767C(XY)  VB076  </t>
    </r>
    <r>
      <rPr>
        <sz val="15"/>
        <color rgb="FFFF0000"/>
        <rFont val="Times New Roman"/>
        <family val="1"/>
      </rPr>
      <t xml:space="preserve">sợi x - XY </t>
    </r>
    <r>
      <rPr>
        <sz val="15"/>
        <color theme="1"/>
        <rFont val="Times New Roman"/>
        <family val="1"/>
      </rPr>
      <t xml:space="preserve"> 1T 19/11 0*1+8</t>
    </r>
  </si>
  <si>
    <t>B2401 VB023UA  3T 14-11-17/11.  13*23</t>
  </si>
  <si>
    <r>
      <t xml:space="preserve">B2294  VB012  </t>
    </r>
    <r>
      <rPr>
        <b/>
        <sz val="15"/>
        <color rgb="FFFF0000"/>
        <rFont val="Times New Roman"/>
        <family val="1"/>
      </rPr>
      <t>CNM 5.</t>
    </r>
    <r>
      <rPr>
        <b/>
        <sz val="15"/>
        <color theme="1"/>
        <rFont val="Times New Roman"/>
        <family val="1"/>
      </rPr>
      <t>0  1CA 13/11 0*3</t>
    </r>
  </si>
  <si>
    <r>
      <t>BOC2367  VB003</t>
    </r>
    <r>
      <rPr>
        <sz val="15"/>
        <color rgb="FFFF0000"/>
        <rFont val="Times New Roman"/>
        <family val="1"/>
      </rPr>
      <t xml:space="preserve"> 11 búp</t>
    </r>
    <r>
      <rPr>
        <sz val="15"/>
        <color theme="1"/>
        <rFont val="Times New Roman"/>
        <family val="1"/>
      </rPr>
      <t xml:space="preserve"> 1.5T 15/11   2*11</t>
    </r>
  </si>
  <si>
    <t xml:space="preserve"> đại tu 26/11</t>
  </si>
  <si>
    <t>B1119 va010  1.5T 13/11 4*8</t>
  </si>
  <si>
    <t>SA170299A(U)  VA052  1CA 14/11</t>
  </si>
  <si>
    <t>B04B(C60/ERT40)  VA012  1CA  14/11 kt</t>
  </si>
  <si>
    <t>BCVC12B  VA081  8T 14/11  kt</t>
  </si>
  <si>
    <t>SO41269A(BPM20-U)  VA029  1CA 13/11 1*4</t>
  </si>
  <si>
    <t>B1067  va151US  3.5T  15/11   18*23 kt</t>
  </si>
  <si>
    <t>B0284  VA051  2CA 15/11</t>
  </si>
  <si>
    <t>B0201A4(NP) VB004  1CA  14/11</t>
  </si>
  <si>
    <t>SO230517D  VB002  1CA 13/11  0*3</t>
  </si>
  <si>
    <t>B0208  vb086us 1ca  14/11</t>
  </si>
  <si>
    <t>B0208  vb085  1ca 15/11</t>
  </si>
  <si>
    <t>SO35751C VB006  1CA 15/11</t>
  </si>
  <si>
    <r>
      <t xml:space="preserve">BOC2367  VB003 </t>
    </r>
    <r>
      <rPr>
        <sz val="15"/>
        <color rgb="FFFF0000"/>
        <rFont val="Times New Roman"/>
        <family val="1"/>
      </rPr>
      <t>12 búp</t>
    </r>
    <r>
      <rPr>
        <sz val="15"/>
        <color theme="1"/>
        <rFont val="Times New Roman"/>
        <family val="1"/>
      </rPr>
      <t xml:space="preserve"> 1.5T 14/11  8*12</t>
    </r>
  </si>
  <si>
    <t>BC04  VB089  1.5T   13/11 4*8</t>
  </si>
  <si>
    <r>
      <rPr>
        <b/>
        <sz val="13"/>
        <color rgb="FFFF0000"/>
        <rFont val="Times New Roman"/>
        <family val="1"/>
      </rPr>
      <t>B</t>
    </r>
    <r>
      <rPr>
        <b/>
        <sz val="13"/>
        <color theme="1"/>
        <rFont val="Times New Roman"/>
        <family val="1"/>
      </rPr>
      <t>1124  VA039 11T 10/11-18/11</t>
    </r>
  </si>
  <si>
    <t>B2878(C50/RE50-AA) VB008 2CA 15/11</t>
  </si>
  <si>
    <t>BPM(50)07B VA002  1CA 25/11</t>
  </si>
  <si>
    <t>BC03  VB108US  2CA  15/11 KT</t>
  </si>
  <si>
    <t>BC03(GC100)  VB001GEC  2CA 15/11 KT</t>
  </si>
  <si>
    <t>BCVC0208  VB060  1T  17/11 KT</t>
  </si>
  <si>
    <t>BM0213(S)  VB004  2CA  17/11 1*8</t>
  </si>
  <si>
    <t>BC04(D)  VB009  4T 13/11-20/11  16*31 KT</t>
  </si>
  <si>
    <t>B2NPL027(BOC) VB001  2CA   15/11 KT</t>
  </si>
  <si>
    <t>BPM(50)FC08-128 VB001  SỢI X-XY  2CA 14/11 KT</t>
  </si>
  <si>
    <t>SO259375BBPM20  VB005  1T   15/11 6*8</t>
  </si>
  <si>
    <t>SA215376B  VB028  1CA 24/11 KT</t>
  </si>
  <si>
    <t>BS2796 VB024  1T 15/11  0*3</t>
  </si>
  <si>
    <t>BPM2781 VB007  1T  17/11  1*8</t>
  </si>
  <si>
    <t>B2214(GC100)  VB001GEC  2CA 15/11 KT</t>
  </si>
  <si>
    <r>
      <t xml:space="preserve">SO259955AC60/ETB40-NPU  VA001 </t>
    </r>
    <r>
      <rPr>
        <b/>
        <sz val="13"/>
        <color rgb="FFFF0000"/>
        <rFont val="Times New Roman"/>
        <family val="1"/>
      </rPr>
      <t xml:space="preserve">CNM 5.0 </t>
    </r>
    <r>
      <rPr>
        <b/>
        <sz val="13"/>
        <color theme="1"/>
        <rFont val="Times New Roman"/>
        <family val="1"/>
      </rPr>
      <t xml:space="preserve">  1CA 16/11</t>
    </r>
  </si>
  <si>
    <t>B1115  VA019  3T 15/11  12*16</t>
  </si>
  <si>
    <t>B06B  VA080  1T   17/11 KT</t>
  </si>
  <si>
    <t>B1029  va032  2ca    27/11 KT</t>
  </si>
  <si>
    <t>BPM1114 va001  2ca 15/11 KT</t>
  </si>
  <si>
    <t>B06A(BOC10)  VA108  26/11</t>
  </si>
  <si>
    <t>SO259884A  VB001  1CA  16/11</t>
  </si>
  <si>
    <t>B2347  VB105  1CA 16/11</t>
  </si>
  <si>
    <t>SA259469A VB008  2CA 17/11</t>
  </si>
  <si>
    <t>B0201  vb032  2ca  18/11</t>
  </si>
  <si>
    <t>B2789  vb020  1ca 16/11</t>
  </si>
  <si>
    <t>B2299  VB048  1CA 17/11</t>
  </si>
  <si>
    <t>BC02 VB139 sợi B 2T 16/11  11*16</t>
  </si>
  <si>
    <t>BA37L(U)  VA188  1CA 16/11</t>
  </si>
  <si>
    <t>BM11B(AA) va007  2ca 17/11</t>
  </si>
  <si>
    <r>
      <t xml:space="preserve">B2207  VB018  </t>
    </r>
    <r>
      <rPr>
        <b/>
        <sz val="15"/>
        <color rgb="FFFF0000"/>
        <rFont val="Times New Roman"/>
        <family val="1"/>
      </rPr>
      <t>CNM5.0</t>
    </r>
    <r>
      <rPr>
        <b/>
        <sz val="15"/>
        <color theme="1"/>
        <rFont val="Times New Roman"/>
        <family val="1"/>
      </rPr>
      <t xml:space="preserve">  1CA  18/11</t>
    </r>
  </si>
  <si>
    <t>SO230517D  VB003  2CA 18/11</t>
  </si>
  <si>
    <t>B2785  VB020  1CA  26/11</t>
  </si>
  <si>
    <t>đại tu 17/11+ chỉnh cự ly 10*23*30</t>
  </si>
  <si>
    <t>chỉnh cự ly 10x23x30</t>
  </si>
  <si>
    <t>6-9.</t>
  </si>
  <si>
    <t>10-14.31-35</t>
  </si>
  <si>
    <t>22-26.</t>
  </si>
  <si>
    <t>2JCM+1 JC VB049+ 5 VB019</t>
  </si>
  <si>
    <t xml:space="preserve">BMC01  VB007 </t>
  </si>
  <si>
    <t>2M+ 3JC TT MỸ + 3 MODAL</t>
  </si>
  <si>
    <t>27.28.29.30</t>
  </si>
  <si>
    <t>trống: 1-5.</t>
  </si>
  <si>
    <t>2m+ 2 vb018 + 1JC VB049+ 3 poly 213</t>
  </si>
  <si>
    <t>BNC01(CVC)  vb021</t>
  </si>
  <si>
    <t>B2656  VB067</t>
  </si>
  <si>
    <t>2 JC M ÀU CNM + 6 JC VB049</t>
  </si>
  <si>
    <t>SO251216A VB006</t>
  </si>
  <si>
    <t>4M+ 4 JC VB048</t>
  </si>
  <si>
    <r>
      <rPr>
        <b/>
        <sz val="13"/>
        <color rgb="FFFF0000"/>
        <rFont val="Times New Roman"/>
        <family val="1"/>
      </rPr>
      <t>B</t>
    </r>
    <r>
      <rPr>
        <b/>
        <sz val="13"/>
        <color theme="1"/>
        <rFont val="Times New Roman"/>
        <family val="1"/>
      </rPr>
      <t>04B  va136  8T  13/11 kt</t>
    </r>
  </si>
  <si>
    <r>
      <rPr>
        <b/>
        <sz val="13"/>
        <color rgb="FFFF0000"/>
        <rFont val="Times New Roman"/>
        <family val="1"/>
      </rPr>
      <t>B</t>
    </r>
    <r>
      <rPr>
        <b/>
        <sz val="13"/>
        <color theme="1"/>
        <rFont val="Times New Roman"/>
        <family val="1"/>
      </rPr>
      <t>1124  VA039 11T 10/11-19/11  kt</t>
    </r>
  </si>
  <si>
    <t>B12B(C60/ETB40)  VA016  1CA  18/11 kt</t>
  </si>
  <si>
    <t>BM(50)1068(AA)  va004    3T   20/11 2*23 kt</t>
  </si>
  <si>
    <t>SA170299A(U)  VA053  1CA 17/11  kt</t>
  </si>
  <si>
    <t>BUM009AERC30-AA  va019  2ca 17/11 kt</t>
  </si>
  <si>
    <t>BPM03  VA012US  2CA  15/11  1*3 kt</t>
  </si>
  <si>
    <t>BM0281 VB006  2CA 18/11 kt</t>
  </si>
  <si>
    <t>B01-RM  VB005  1T 19/11 kt</t>
  </si>
  <si>
    <t>BC04(AA)  VB088  1T 19/11 kt</t>
  </si>
  <si>
    <t>B2651 vb014  10T 11/11-16/11 kt</t>
  </si>
  <si>
    <t>B0285  VB036  1CA  19/11 kt</t>
  </si>
  <si>
    <t>B0281  VB101  6T 14/11-15/11  27*31  kt</t>
  </si>
  <si>
    <r>
      <t xml:space="preserve">B3404  VB004  </t>
    </r>
    <r>
      <rPr>
        <b/>
        <sz val="15"/>
        <color rgb="FFFF0000"/>
        <rFont val="Times New Roman"/>
        <family val="1"/>
      </rPr>
      <t>CNM5.0</t>
    </r>
    <r>
      <rPr>
        <b/>
        <sz val="15"/>
        <color theme="1"/>
        <rFont val="Times New Roman"/>
        <family val="1"/>
      </rPr>
      <t xml:space="preserve">  1CA  18/11 kt</t>
    </r>
  </si>
  <si>
    <t>BPM(20)0209  VB007 2.5T  17/11  7*16 kt</t>
  </si>
  <si>
    <t>BOC0214  VB008 8T 13/11-15/11 kt</t>
  </si>
  <si>
    <t>BTC0210  VB005  2CA  18/11  kt</t>
  </si>
  <si>
    <t>BTM(60)C03(AA)  VB006 1.5T  18/11 5*9</t>
  </si>
  <si>
    <t>B0221  VB027  1CA 18/11</t>
  </si>
  <si>
    <t>B1124P(EA25)  va012  12T  22/11</t>
  </si>
  <si>
    <t>B1124P(EA25)  va012   22/11</t>
  </si>
  <si>
    <t>BCVC1019  VA050  1CA  18/11</t>
  </si>
  <si>
    <t>BS07B VA134  1CA 19/11</t>
  </si>
  <si>
    <r>
      <t xml:space="preserve">SO206377AXYS  VB001 </t>
    </r>
    <r>
      <rPr>
        <sz val="15"/>
        <color rgb="FFFF0000"/>
        <rFont val="Times New Roman"/>
        <family val="1"/>
      </rPr>
      <t xml:space="preserve"> sợi X</t>
    </r>
    <r>
      <rPr>
        <sz val="15"/>
        <color theme="1"/>
        <rFont val="Times New Roman"/>
        <family val="1"/>
      </rPr>
      <t xml:space="preserve">  1CA  20/11</t>
    </r>
  </si>
  <si>
    <t>BM(50)07B(AA) VA013  2CA 21/11</t>
  </si>
  <si>
    <t>BPM(20)C04  VB001  5T  7/12</t>
  </si>
  <si>
    <t>BMC01  VB007  2T 18/11  12*16  kt</t>
  </si>
  <si>
    <t>SO241795BCVC  VB002  2CA  28/11 kt</t>
  </si>
  <si>
    <t>BC04 VB090  1CA   18/11 kt</t>
  </si>
  <si>
    <r>
      <t xml:space="preserve">SO206377AXYS  VB001 </t>
    </r>
    <r>
      <rPr>
        <sz val="15"/>
        <color rgb="FFFF0000"/>
        <rFont val="Times New Roman"/>
        <family val="1"/>
      </rPr>
      <t xml:space="preserve">XY </t>
    </r>
    <r>
      <rPr>
        <sz val="15"/>
        <color theme="1"/>
        <rFont val="Times New Roman"/>
        <family val="1"/>
      </rPr>
      <t xml:space="preserve">  2CA  20/11 kt</t>
    </r>
  </si>
  <si>
    <t>B2657 VB017  1CA  26/11 kt</t>
  </si>
  <si>
    <t>B2656  VB067  1.5T  18/11  4*8 kt</t>
  </si>
  <si>
    <t>BM(50)2366(AA)  VB005  1CA  25/11 kt</t>
  </si>
  <si>
    <t>B0210(ERT65/RE35B-AA)  vb001  1ca  19/11 kt</t>
  </si>
  <si>
    <t>BPM11B  VA015  5T  19/11  27*31+4 kt</t>
  </si>
  <si>
    <t>B0284  VA052  1T  19/11 0*7</t>
  </si>
  <si>
    <t>B1124(C60/ETB40)  VA037 1T 19/11  0*7</t>
  </si>
  <si>
    <t>SA200871ABM50-AA-U VA004  1CA 19/11 kt</t>
  </si>
  <si>
    <t>B0295  vb005  1ca 20/11</t>
  </si>
  <si>
    <t>B0280  vb043  1ca 20/11</t>
  </si>
  <si>
    <t>B05(OCR-AA) vb001  1ca  20/11</t>
  </si>
  <si>
    <t>BOC09B VA002  1CA 23/11</t>
  </si>
  <si>
    <t>SO251216AAA  VB005  21T  31/10-20/11 kt</t>
  </si>
  <si>
    <t>SA259974BCVC VB001  2CA 18/11  0*3 kt</t>
  </si>
  <si>
    <t>BC02(RE40/BPM30/OCN30) VB001  1CA 22/11 kt</t>
  </si>
  <si>
    <t>BC02(OCR50)  VB002  2CA 20/11 kt</t>
  </si>
  <si>
    <t>BOC2367 VB004  2CA 21/11 kt</t>
  </si>
  <si>
    <t>B2784  VB003  1CA  20/11 0*3</t>
  </si>
  <si>
    <t>B2829  VB019  1.5T  20/11 0*8 kt</t>
  </si>
  <si>
    <t>SO259947DBPM VB001  2CA 20/11  kt</t>
  </si>
  <si>
    <t>SO229159ABMB  VB004  1T  22/11</t>
  </si>
  <si>
    <t>B1114  VA030  2CA  19/11 0*3</t>
  </si>
  <si>
    <t>BOC(30)09B(BPM) VA001  1CA 20/11</t>
  </si>
  <si>
    <t>B09B(OC60/ERT40)  VA002  2CA  19/11 2*4</t>
  </si>
  <si>
    <t>SA192462AU  va023  1ca 20/11</t>
  </si>
  <si>
    <t>B1069  VA236US  2CA  21/11</t>
  </si>
  <si>
    <t>SO251216AAA  vb006  5T 21/11</t>
  </si>
  <si>
    <t>THÁO SUỐT</t>
  </si>
  <si>
    <t>BCVC0283(S)  VB013US  2CA  21/11 kt</t>
  </si>
  <si>
    <t>BCVC0281(BPM)  VB011  2CA 21/11 kt</t>
  </si>
  <si>
    <t xml:space="preserve"> SGR92083B  VB195  1T 20/11 3*8 kt</t>
  </si>
  <si>
    <t>BS0278  VB093  2CA 20/11 kt</t>
  </si>
  <si>
    <t>B0213  VB035   2CA  21/11 kt</t>
  </si>
  <si>
    <t>B2656  VB068  2CA 21/11 kt</t>
  </si>
  <si>
    <t>SO241795BBPM  VB002  1.5T  22/11  10*16</t>
  </si>
  <si>
    <t>SO259711DHP100 VB001  1CA 20/11 0*3</t>
  </si>
  <si>
    <t>BFC13-03(BM)  VB004  1CA 20/11 2*4</t>
  </si>
  <si>
    <t>BCVC105  VA037  1CA 20/11 kt</t>
  </si>
  <si>
    <t>B1069(OCR)  VA020  2CA 20/11  1*4</t>
  </si>
  <si>
    <t>B14B  VA075UA  1T  21/11  3*7</t>
  </si>
  <si>
    <t>BM0212  VB018  1CA  21/11</t>
  </si>
  <si>
    <t>SA259437A  VB008  2CA  22/11</t>
  </si>
  <si>
    <r>
      <rPr>
        <b/>
        <sz val="15"/>
        <color rgb="FFFF0000"/>
        <rFont val="Times New Roman"/>
        <family val="1"/>
      </rPr>
      <t>B</t>
    </r>
    <r>
      <rPr>
        <b/>
        <sz val="15"/>
        <color theme="1"/>
        <rFont val="Times New Roman"/>
        <family val="1"/>
      </rPr>
      <t>C02  VB144   8T  18/11-23/11</t>
    </r>
  </si>
  <si>
    <r>
      <rPr>
        <b/>
        <sz val="15"/>
        <color rgb="FFFF0000"/>
        <rFont val="Times New Roman"/>
        <family val="1"/>
      </rPr>
      <t>B</t>
    </r>
    <r>
      <rPr>
        <b/>
        <sz val="15"/>
        <color theme="1"/>
        <rFont val="Times New Roman"/>
        <family val="1"/>
      </rPr>
      <t>C02  VB144   8T  18/11-24/11</t>
    </r>
  </si>
  <si>
    <t>BR2401  VB004  1CA  21/11</t>
  </si>
  <si>
    <r>
      <t xml:space="preserve">B2621  VB096  </t>
    </r>
    <r>
      <rPr>
        <b/>
        <sz val="15"/>
        <color rgb="FFFF0000"/>
        <rFont val="Times New Roman"/>
        <family val="1"/>
      </rPr>
      <t>CNM 5.0</t>
    </r>
    <r>
      <rPr>
        <b/>
        <sz val="15"/>
        <color theme="1"/>
        <rFont val="Times New Roman"/>
        <family val="1"/>
      </rPr>
      <t xml:space="preserve">  1CA 22/11</t>
    </r>
  </si>
  <si>
    <r>
      <t xml:space="preserve">B0280  VB042  </t>
    </r>
    <r>
      <rPr>
        <b/>
        <sz val="15"/>
        <color rgb="FFFF0000"/>
        <rFont val="Times New Roman"/>
        <family val="1"/>
      </rPr>
      <t>CNM 5.0</t>
    </r>
    <r>
      <rPr>
        <b/>
        <sz val="15"/>
        <color theme="1"/>
        <rFont val="Times New Roman"/>
        <family val="1"/>
      </rPr>
      <t xml:space="preserve">  1CA 23/11</t>
    </r>
  </si>
  <si>
    <r>
      <t xml:space="preserve">B2366  VB084  </t>
    </r>
    <r>
      <rPr>
        <b/>
        <sz val="15"/>
        <color rgb="FFFF0000"/>
        <rFont val="Times New Roman"/>
        <family val="1"/>
      </rPr>
      <t>CNM 5.0</t>
    </r>
    <r>
      <rPr>
        <b/>
        <sz val="15"/>
        <color theme="1"/>
        <rFont val="Times New Roman"/>
        <family val="1"/>
      </rPr>
      <t xml:space="preserve">  1CA 23/11</t>
    </r>
  </si>
  <si>
    <t>B04B(AA)  va141  2ca  21/11 kt</t>
  </si>
  <si>
    <t>B1020  VA064  2CA  20/11</t>
  </si>
  <si>
    <t>BM(B)0284  VA005US 2T   21/11  15*16</t>
  </si>
  <si>
    <t>B09B(C60/ETB40)  VA026  2CA 23/11</t>
  </si>
  <si>
    <t>B2866  VB024  1CA  23/11 kt</t>
  </si>
  <si>
    <t>B05(AA)  VB087  1CA 21/11 0*3</t>
  </si>
  <si>
    <t xml:space="preserve"> VB096    SGR92083B    2T  22/11 12*16 kt</t>
  </si>
  <si>
    <t>B2282(OCR)  vb008  1.5T  22/11 0*8 kt</t>
  </si>
  <si>
    <r>
      <t xml:space="preserve">B2299  VB044  </t>
    </r>
    <r>
      <rPr>
        <b/>
        <sz val="15"/>
        <color rgb="FFFF0000"/>
        <rFont val="Times New Roman"/>
        <family val="1"/>
      </rPr>
      <t>CNM 5.0</t>
    </r>
    <r>
      <rPr>
        <b/>
        <sz val="15"/>
        <color theme="1"/>
        <rFont val="Times New Roman"/>
        <family val="1"/>
      </rPr>
      <t xml:space="preserve">  1CA 21/11 0*3</t>
    </r>
  </si>
  <si>
    <t>B0213(C60/ETB40)  VB010  2CA 21/11 2*3</t>
  </si>
  <si>
    <t>B0278(C60/ERT40)  VB017  2CA  22/11</t>
  </si>
  <si>
    <t>B2657 vb018 1ca  22/11 kt</t>
  </si>
  <si>
    <t>SG252162AU va001us 1ca 23/11</t>
  </si>
  <si>
    <t>BPM0210  VB039  2CA 24/11</t>
  </si>
  <si>
    <t>SA170150B(CVC)  VB002 2CA  25/11</t>
  </si>
  <si>
    <t>B2795 VB008  1CA  22/11</t>
  </si>
  <si>
    <t>B2785  vb021  1ca 22/11</t>
  </si>
  <si>
    <t>B0285  VB037 1CA  23/11</t>
  </si>
  <si>
    <t>BA2NF010  VB001  1CA  1/12</t>
  </si>
  <si>
    <r>
      <t xml:space="preserve">B2782  VB020  </t>
    </r>
    <r>
      <rPr>
        <b/>
        <sz val="15"/>
        <color rgb="FFFF0000"/>
        <rFont val="Times New Roman"/>
        <family val="1"/>
      </rPr>
      <t>CNM5.0</t>
    </r>
    <r>
      <rPr>
        <b/>
        <sz val="15"/>
        <color theme="1"/>
        <rFont val="Times New Roman"/>
        <family val="1"/>
      </rPr>
      <t xml:space="preserve">  1CA  23/11</t>
    </r>
  </si>
  <si>
    <r>
      <t xml:space="preserve">B2F109 JVB001  </t>
    </r>
    <r>
      <rPr>
        <b/>
        <sz val="15"/>
        <color rgb="FFFF0000"/>
        <rFont val="Times New Roman"/>
        <family val="1"/>
      </rPr>
      <t>CNM5.0</t>
    </r>
    <r>
      <rPr>
        <b/>
        <sz val="15"/>
        <color theme="1"/>
        <rFont val="Times New Roman"/>
        <family val="1"/>
      </rPr>
      <t xml:space="preserve">  1CA 23/11</t>
    </r>
  </si>
  <si>
    <r>
      <t xml:space="preserve">B2F111 JVB001  </t>
    </r>
    <r>
      <rPr>
        <b/>
        <sz val="15"/>
        <color rgb="FFFF0000"/>
        <rFont val="Times New Roman"/>
        <family val="1"/>
      </rPr>
      <t>CNM5.0</t>
    </r>
    <r>
      <rPr>
        <b/>
        <sz val="15"/>
        <color theme="1"/>
        <rFont val="Times New Roman"/>
        <family val="1"/>
      </rPr>
      <t xml:space="preserve">  1CA 23/11</t>
    </r>
  </si>
  <si>
    <r>
      <t xml:space="preserve">B2F114  JVB001  </t>
    </r>
    <r>
      <rPr>
        <b/>
        <sz val="15"/>
        <color rgb="FFFF0000"/>
        <rFont val="Times New Roman"/>
        <family val="1"/>
      </rPr>
      <t>CNM5.0</t>
    </r>
    <r>
      <rPr>
        <b/>
        <sz val="15"/>
        <color theme="1"/>
        <rFont val="Times New Roman"/>
        <family val="1"/>
      </rPr>
      <t xml:space="preserve">  1CA 24/11</t>
    </r>
  </si>
  <si>
    <r>
      <t xml:space="preserve">B2F110 JVB001  </t>
    </r>
    <r>
      <rPr>
        <b/>
        <sz val="15"/>
        <color rgb="FFFF0000"/>
        <rFont val="Times New Roman"/>
        <family val="1"/>
      </rPr>
      <t>CNM5.0</t>
    </r>
    <r>
      <rPr>
        <b/>
        <sz val="15"/>
        <color theme="1"/>
        <rFont val="Times New Roman"/>
        <family val="1"/>
      </rPr>
      <t xml:space="preserve">  1CA 22/11 kt</t>
    </r>
  </si>
  <si>
    <r>
      <t xml:space="preserve">B2F113  JVB001  </t>
    </r>
    <r>
      <rPr>
        <b/>
        <sz val="15"/>
        <color rgb="FFFF0000"/>
        <rFont val="Times New Roman"/>
        <family val="1"/>
      </rPr>
      <t>CNM5.0</t>
    </r>
    <r>
      <rPr>
        <b/>
        <sz val="15"/>
        <color theme="1"/>
        <rFont val="Times New Roman"/>
        <family val="1"/>
      </rPr>
      <t xml:space="preserve">  1CA 22/11 kt</t>
    </r>
  </si>
  <si>
    <t>B0216  vb013  1ca  23/11 kt</t>
  </si>
  <si>
    <t>B0210(OCR)  VB024  2CA 22/11 1*3</t>
  </si>
  <si>
    <r>
      <t xml:space="preserve">B2656  VB067 </t>
    </r>
    <r>
      <rPr>
        <b/>
        <sz val="15"/>
        <color rgb="FFFF0000"/>
        <rFont val="Times New Roman"/>
        <family val="1"/>
      </rPr>
      <t>sợi B</t>
    </r>
    <r>
      <rPr>
        <b/>
        <sz val="15"/>
        <color theme="1"/>
        <rFont val="Times New Roman"/>
        <family val="1"/>
      </rPr>
      <t xml:space="preserve">  2CA   24/11 0*4 kt</t>
    </r>
  </si>
  <si>
    <t>B2367  VB045  3.5T  25/11 8*23</t>
  </si>
  <si>
    <t>BRC04  VB012 2CA 21/11 0*4 kt</t>
  </si>
  <si>
    <t>BM11B(AA)  va008  2ca 22/11 1*4</t>
  </si>
  <si>
    <t>BA37L(CR20-AA-U)  VA018  2CA 22/11 3*4</t>
  </si>
  <si>
    <t>BS2659  VA033  2.5T 22/11 12*16</t>
  </si>
  <si>
    <t>B1069(OCN)  va074  4T 22/11  17*23 kt</t>
  </si>
  <si>
    <t>SO152767C(XY)  VB077  2T  LUCKY</t>
  </si>
  <si>
    <t>BM(50M)1123  VA001  1CA 23/11</t>
  </si>
  <si>
    <t>B1124(C60/ETB40)  VA038  1CA 24/11</t>
  </si>
  <si>
    <t>BPM(20)06B va005  2ca  24/11</t>
  </si>
  <si>
    <t>6# OK</t>
  </si>
  <si>
    <t>4#</t>
  </si>
  <si>
    <t>3# OK</t>
  </si>
  <si>
    <t xml:space="preserve"> 2# OK</t>
  </si>
  <si>
    <t>1# OK</t>
  </si>
  <si>
    <t>21# OK</t>
  </si>
  <si>
    <t>20# OK</t>
  </si>
  <si>
    <t>19#  OK</t>
  </si>
  <si>
    <t>18#  OK</t>
  </si>
  <si>
    <t>BOC2797  VB002 1CA 23/11</t>
  </si>
  <si>
    <t>SO230517D VB004  2CA  24/11</t>
  </si>
  <si>
    <t>B1067  VA152  6T  26/11</t>
  </si>
  <si>
    <t>BCVC0285  VB018  1CA  23/11</t>
  </si>
  <si>
    <t>BC02(RE100)  VB001  1CA 24/11</t>
  </si>
  <si>
    <t>B2796  VB025  2CA 24/11</t>
  </si>
  <si>
    <t>B0279  VB051  2CA 25/11</t>
  </si>
  <si>
    <t>B2366  VB093  2CA  19/11</t>
  </si>
  <si>
    <t>BOC(90)C03  VB009  2CA  24/11</t>
  </si>
  <si>
    <t>SO95703B(XY)  VB005  2CA 3/12</t>
  </si>
  <si>
    <t>BH13  VB005  1CA  25/11</t>
  </si>
  <si>
    <t>BPM11B  VA016  2CA 25/11</t>
  </si>
  <si>
    <r>
      <t xml:space="preserve">B2F115  JVB001  </t>
    </r>
    <r>
      <rPr>
        <b/>
        <sz val="15"/>
        <color rgb="FFFF0000"/>
        <rFont val="Times New Roman"/>
        <family val="1"/>
      </rPr>
      <t>CNM5.0</t>
    </r>
    <r>
      <rPr>
        <b/>
        <sz val="15"/>
        <color theme="1"/>
        <rFont val="Times New Roman"/>
        <family val="1"/>
      </rPr>
      <t xml:space="preserve">  1CA 24/11 KT</t>
    </r>
  </si>
  <si>
    <r>
      <t xml:space="preserve">B2F112  JVB001  </t>
    </r>
    <r>
      <rPr>
        <b/>
        <sz val="15"/>
        <color rgb="FFFF0000"/>
        <rFont val="Times New Roman"/>
        <family val="1"/>
      </rPr>
      <t>CNM5.0</t>
    </r>
    <r>
      <rPr>
        <b/>
        <sz val="15"/>
        <color theme="1"/>
        <rFont val="Times New Roman"/>
        <family val="1"/>
      </rPr>
      <t xml:space="preserve">  1CA 24/11 KT</t>
    </r>
  </si>
  <si>
    <t xml:space="preserve">B0284(OCR)  va011  1T  23/11  4*7 </t>
  </si>
  <si>
    <t>BM09B VA012  1CA 26/11</t>
  </si>
  <si>
    <t>BS1069  va237  1ca 23/11</t>
  </si>
  <si>
    <r>
      <t xml:space="preserve">B2F116  JVB001  </t>
    </r>
    <r>
      <rPr>
        <b/>
        <sz val="15"/>
        <color rgb="FFFF0000"/>
        <rFont val="Times New Roman"/>
        <family val="1"/>
      </rPr>
      <t>CNM5.0</t>
    </r>
    <r>
      <rPr>
        <b/>
        <sz val="15"/>
        <color theme="1"/>
        <rFont val="Times New Roman"/>
        <family val="1"/>
      </rPr>
      <t xml:space="preserve">  1CA 25/11 kt</t>
    </r>
  </si>
  <si>
    <t>B2651 VB015  1CA BÙ 29/11 kt</t>
  </si>
  <si>
    <t>B0208 vb087  2ca  chạy trc 50lb-còn lại 26/11 0*8</t>
  </si>
  <si>
    <r>
      <t xml:space="preserve">B2367  VB040  </t>
    </r>
    <r>
      <rPr>
        <b/>
        <sz val="15"/>
        <color rgb="FFFF0000"/>
        <rFont val="Times New Roman"/>
        <family val="1"/>
      </rPr>
      <t>CNM5.0</t>
    </r>
    <r>
      <rPr>
        <b/>
        <sz val="15"/>
        <color theme="1"/>
        <rFont val="Times New Roman"/>
        <family val="1"/>
      </rPr>
      <t xml:space="preserve">  1CA 24/11 2*3</t>
    </r>
  </si>
  <si>
    <t>B0201  vb033 1T  24/11 5*8</t>
  </si>
  <si>
    <t>B2299 VB049  1CA 25/11 kt</t>
  </si>
  <si>
    <t>BPM03  vb013  2ca  26/11 kt</t>
  </si>
  <si>
    <t>B0283  VB049US 1CA 29/11 kt</t>
  </si>
  <si>
    <r>
      <t xml:space="preserve">B2884  VB001 </t>
    </r>
    <r>
      <rPr>
        <b/>
        <sz val="15"/>
        <color rgb="FFFF0000"/>
        <rFont val="Times New Roman"/>
        <family val="1"/>
      </rPr>
      <t xml:space="preserve"> CNM5.0</t>
    </r>
    <r>
      <rPr>
        <b/>
        <sz val="15"/>
        <color theme="1"/>
        <rFont val="Times New Roman"/>
        <family val="1"/>
      </rPr>
      <t xml:space="preserve">  1CA 25/11 </t>
    </r>
  </si>
  <si>
    <t>BA37L(U) VA189  4T  25/11  12*23 kt</t>
  </si>
  <si>
    <t>SO259955AC60/ETB40-NPU VA002  1CA 24/11 kt</t>
  </si>
  <si>
    <t>B1119  va011  1T  26/11 kt</t>
  </si>
  <si>
    <t>BCVC102  va033  2T  25/11 1*16 kt</t>
  </si>
  <si>
    <t>BUM051AER30-AA-U va018  8T  25/11 kt</t>
  </si>
  <si>
    <t>SGR82938A(BOC10-U) VA029  2CA 25/11 kt</t>
  </si>
  <si>
    <t>BM(100M)1019  VA013  5T  24/11  33*34</t>
  </si>
  <si>
    <t>13# ok</t>
  </si>
  <si>
    <t>16# ok</t>
  </si>
  <si>
    <t>17# ok</t>
  </si>
  <si>
    <t>BTR04B  va014  1ca 25/11</t>
  </si>
  <si>
    <t>SA170299A(BM100-AA-U)  VA014  1CA 26/11</t>
  </si>
  <si>
    <t>B11B(C60/ETB40)  VA012  1CA 25/11</t>
  </si>
  <si>
    <t>BM04B(AA)  VA016  2CA 26/11</t>
  </si>
  <si>
    <t>B0284  VA053  1CA25/11</t>
  </si>
  <si>
    <t>B2207(OCR) VB001  1CA  26/11</t>
  </si>
  <si>
    <t>B1004  VA217 1CA 26/11</t>
  </si>
  <si>
    <t>BFC07-121(C65/BPM30/CA5) VB001  1CA 29/11</t>
  </si>
  <si>
    <t>BCVC0208  VB061  5T 27/11-26/11</t>
  </si>
  <si>
    <t>BC03  VB109R  1T 25/11 kt</t>
  </si>
  <si>
    <t>B0281  VB103  2CA 25/11  2*3</t>
  </si>
  <si>
    <t>SO259431AOCR VB001  1CA 26/11 1*3</t>
  </si>
  <si>
    <t>BH13(BM)  VB001  1CA  25/11 kt</t>
  </si>
  <si>
    <t xml:space="preserve"> đại tu 25/11 kt</t>
  </si>
  <si>
    <t>SGR92083B(CVC)  VB043US 2T 26/11 14*17</t>
  </si>
  <si>
    <t>BA37L(C65/ERT35-AA-U)  VA002  2CA 25/11 0*4</t>
  </si>
  <si>
    <t>B8224  va022  1ca 25/11 KT</t>
  </si>
  <si>
    <t>SB259841CT80/R20M-U  VA001   1CA 25/11 1*4</t>
  </si>
  <si>
    <t>B2621  VB097  1CA 27/11</t>
  </si>
  <si>
    <r>
      <t>B2F025(AA)  VB004</t>
    </r>
    <r>
      <rPr>
        <b/>
        <sz val="15"/>
        <color rgb="FFFF0000"/>
        <rFont val="Times New Roman"/>
        <family val="1"/>
      </rPr>
      <t xml:space="preserve"> CNM5.0</t>
    </r>
    <r>
      <rPr>
        <b/>
        <sz val="15"/>
        <color theme="1"/>
        <rFont val="Times New Roman"/>
        <family val="1"/>
      </rPr>
      <t xml:space="preserve">   1CA  28/11</t>
    </r>
  </si>
  <si>
    <r>
      <rPr>
        <b/>
        <sz val="13"/>
        <color rgb="FFFF0000"/>
        <rFont val="Times New Roman"/>
        <family val="1"/>
      </rPr>
      <t>B</t>
    </r>
    <r>
      <rPr>
        <b/>
        <sz val="13"/>
        <color theme="1"/>
        <rFont val="Times New Roman"/>
        <family val="1"/>
      </rPr>
      <t>1124  va040  10T  29/11</t>
    </r>
  </si>
  <si>
    <r>
      <rPr>
        <b/>
        <sz val="13"/>
        <color rgb="FFFF0000"/>
        <rFont val="Times New Roman"/>
        <family val="1"/>
      </rPr>
      <t>B</t>
    </r>
    <r>
      <rPr>
        <b/>
        <sz val="13"/>
        <color theme="1"/>
        <rFont val="Times New Roman"/>
        <family val="1"/>
      </rPr>
      <t>1124  va040  10T 29/11</t>
    </r>
  </si>
  <si>
    <r>
      <rPr>
        <b/>
        <sz val="13"/>
        <color rgb="FFFF0000"/>
        <rFont val="Times New Roman"/>
        <family val="1"/>
      </rPr>
      <t>B</t>
    </r>
    <r>
      <rPr>
        <b/>
        <sz val="13"/>
        <color theme="1"/>
        <rFont val="Times New Roman"/>
        <family val="1"/>
      </rPr>
      <t>1124  va040  10T  30/11</t>
    </r>
  </si>
  <si>
    <t>BOC(90)C03  VB009 1CA BU 25/11</t>
  </si>
  <si>
    <t>BPM2214  VB007US  1CA 30/11</t>
  </si>
  <si>
    <t>SA200871AC45/TE40LF/ER15-U VA001  2CA 28/11</t>
  </si>
  <si>
    <t>SGR92083B(BM) VB003  2CA  10/12 ĐỢI BÁO</t>
  </si>
  <si>
    <t>SO258062BBPM  VB001  1CA 7/12</t>
  </si>
  <si>
    <t>BCVC2621  VB007  1CA 27/11</t>
  </si>
  <si>
    <t>B1069  VA238UA  1T  27/11 1*7</t>
  </si>
  <si>
    <t>B07B  VA135  2CA  25/11 0*4 kt</t>
  </si>
  <si>
    <t>BCVC1004  va026  1ca  27/11 kt</t>
  </si>
  <si>
    <t>B09B(ETB65/R35-AA)  va001  1ca  26/11 kt</t>
  </si>
  <si>
    <t>SGR91885D  VB021  1T 26/11 7*8</t>
  </si>
  <si>
    <t>SGR92083B  VB200  2ca 27/11 kt</t>
  </si>
  <si>
    <t>BC04 VB092  2.5T  27/11 12*16</t>
  </si>
  <si>
    <t>BR2621  vb001  1ca  26/11 kt</t>
  </si>
  <si>
    <t>BM2621  VB001  1CA  28/11</t>
  </si>
  <si>
    <t>B2347  VB106  3T 26/11 22*23</t>
  </si>
  <si>
    <t>B06A(BOC10)  VA110  10T 1/12</t>
  </si>
  <si>
    <t>B06A(BOC10)  VA110  10T 30/11</t>
  </si>
  <si>
    <t>SGR82938A(BOC10-U) VA030  2CA 1/12</t>
  </si>
  <si>
    <t>BSB4041AERT50/C25/R25-EY-U  VA014   sợi X-XY  2CA  28/11</t>
  </si>
  <si>
    <t>B0212  vb066 2ca 29/11</t>
  </si>
  <si>
    <r>
      <t xml:space="preserve">SA155427K  vb021  2ca   10/12 </t>
    </r>
    <r>
      <rPr>
        <sz val="15"/>
        <color rgb="FFFF0000"/>
        <rFont val="Times New Roman"/>
        <family val="1"/>
      </rPr>
      <t>màu ok đợi báo chạy</t>
    </r>
  </si>
  <si>
    <t>BR12B  VA003  1CA 28/11</t>
  </si>
  <si>
    <t>BC02  VB145</t>
  </si>
  <si>
    <t xml:space="preserve">SGR92083B  vb198 </t>
  </si>
  <si>
    <t>2M+2JC VB048+ 4 VB048</t>
  </si>
  <si>
    <t xml:space="preserve">SO00195C  VB011 </t>
  </si>
  <si>
    <t>2M+3 JC VB048+ 3 VB048</t>
  </si>
  <si>
    <t>BPM(20)0209  VB008</t>
  </si>
  <si>
    <t>B06G(FH18)(BOC20-AA) VB026</t>
  </si>
  <si>
    <t xml:space="preserve">B2793  VB017 </t>
  </si>
  <si>
    <t>2M+3 VB018+2 JC TT MỸ VB019+ 1 JC VB049</t>
  </si>
  <si>
    <t>BNC01 VB048</t>
  </si>
  <si>
    <t>2M+6JC VB049</t>
  </si>
  <si>
    <t>B09B(OCN)  VA008  2CA 2/12</t>
  </si>
  <si>
    <t>B06A(BOC10)  VA110  10T 29/11</t>
  </si>
  <si>
    <t>BTR12B  VA002  1CA 29/11</t>
  </si>
  <si>
    <t>B0284  VA053   CHẠY LẠI 1CA 27/11</t>
  </si>
  <si>
    <r>
      <t xml:space="preserve">B1F016B  va002  </t>
    </r>
    <r>
      <rPr>
        <b/>
        <sz val="13"/>
        <color rgb="FFFF0000"/>
        <rFont val="Times New Roman"/>
        <family val="1"/>
      </rPr>
      <t>CNM 5.0</t>
    </r>
    <r>
      <rPr>
        <b/>
        <sz val="13"/>
        <color theme="1"/>
        <rFont val="Times New Roman"/>
        <family val="1"/>
      </rPr>
      <t xml:space="preserve"> 1ca 28/11</t>
    </r>
  </si>
  <si>
    <r>
      <t xml:space="preserve">SO95703B(XY)  VB005 </t>
    </r>
    <r>
      <rPr>
        <sz val="15"/>
        <color rgb="FFFF0000"/>
        <rFont val="Times New Roman"/>
        <family val="1"/>
      </rPr>
      <t>sợi X- XY</t>
    </r>
    <r>
      <rPr>
        <sz val="15"/>
        <color theme="1"/>
        <rFont val="Times New Roman"/>
        <family val="1"/>
      </rPr>
      <t xml:space="preserve">  2CA 28/11 kt</t>
    </r>
  </si>
  <si>
    <t>SO259432AOCR  VB001  1CA  27/11  1*3</t>
  </si>
  <si>
    <t>SO259245A-RM  VB003  1CA 26/11 2*3 kt</t>
  </si>
  <si>
    <t>B0210  VB150US 1T  27/11 5*8  kt</t>
  </si>
  <si>
    <t>BPM(20)0209  VB008  2T 28/11 10*16</t>
  </si>
  <si>
    <t>B2366  VB094  2CA 28/11 0*3</t>
  </si>
  <si>
    <t>SO259231AC60/RE40  VB007  1T 29/11  3*8</t>
  </si>
  <si>
    <t>BA37L(M60/BPM40-AA-U)  VA002  1T  26/11  6*8 kt</t>
  </si>
  <si>
    <r>
      <t xml:space="preserve">B1F012B  va002 </t>
    </r>
    <r>
      <rPr>
        <b/>
        <sz val="13"/>
        <rFont val="Times New Roman"/>
        <family val="1"/>
      </rPr>
      <t xml:space="preserve"> CNM 5.0</t>
    </r>
    <r>
      <rPr>
        <b/>
        <sz val="13"/>
        <color rgb="FFFF0000"/>
        <rFont val="Times New Roman"/>
        <family val="1"/>
      </rPr>
      <t xml:space="preserve"> 1ca 28/11 kt</t>
    </r>
  </si>
  <si>
    <r>
      <t xml:space="preserve">BCVC09B  VA026  </t>
    </r>
    <r>
      <rPr>
        <b/>
        <sz val="13"/>
        <color rgb="FFFF0000"/>
        <rFont val="Times New Roman"/>
        <family val="1"/>
      </rPr>
      <t xml:space="preserve"> CNM 5.0 </t>
    </r>
    <r>
      <rPr>
        <b/>
        <sz val="13"/>
        <color theme="1"/>
        <rFont val="Times New Roman"/>
        <family val="1"/>
      </rPr>
      <t>1CA 29/11 kt</t>
    </r>
  </si>
  <si>
    <t>BM1123(AA)  VA001  1CA 27/11 0*4</t>
  </si>
  <si>
    <t>B1020(C40/M30/ST30)  VA001  1CA 30/11</t>
  </si>
  <si>
    <t>SA155427K  vb020  2CA  29/11</t>
  </si>
  <si>
    <t>B12B  VA159 6T 28/11</t>
  </si>
  <si>
    <t>B1126(OCR) VA001  1CA 28/11</t>
  </si>
  <si>
    <t>B1114  va031  1ca 29/11</t>
  </si>
  <si>
    <t>7# ok</t>
  </si>
  <si>
    <t>8# ok</t>
  </si>
  <si>
    <t>9# ok</t>
  </si>
  <si>
    <t>10# ok</t>
  </si>
  <si>
    <r>
      <rPr>
        <b/>
        <sz val="13"/>
        <color rgb="FFFF0000"/>
        <rFont val="Times New Roman"/>
        <family val="1"/>
      </rPr>
      <t>B</t>
    </r>
    <r>
      <rPr>
        <b/>
        <sz val="13"/>
        <color theme="1"/>
        <rFont val="Times New Roman"/>
        <family val="1"/>
      </rPr>
      <t>1124  va040  10T  28/11 kt</t>
    </r>
  </si>
  <si>
    <t>B07B  VA136  1T  28/11   5*7</t>
  </si>
  <si>
    <t>B1019  VA135  2CA 29/11</t>
  </si>
  <si>
    <r>
      <t xml:space="preserve">B2F037B va002  1ca 30/11 </t>
    </r>
    <r>
      <rPr>
        <b/>
        <sz val="13"/>
        <color rgb="FFFF0000"/>
        <rFont val="Times New Roman"/>
        <family val="1"/>
      </rPr>
      <t>CNM5.0</t>
    </r>
    <r>
      <rPr>
        <b/>
        <sz val="13"/>
        <color theme="1"/>
        <rFont val="Times New Roman"/>
        <family val="1"/>
      </rPr>
      <t xml:space="preserve">  1CA 29/11 kt </t>
    </r>
  </si>
  <si>
    <t>BPM1019  VA029  1CA 28/11 kt</t>
  </si>
  <si>
    <t>BC04(D)  vb010  6T  24/11-28/11 kt</t>
  </si>
  <si>
    <t>BOCC02  VB008  1CA  30/11  kt</t>
  </si>
  <si>
    <t>B0283  vb050  1ca 29/11 kt</t>
  </si>
  <si>
    <t>B0212P(C35/OCR35/EA30)  VB001 2CA 28/11 1*3</t>
  </si>
  <si>
    <t>B2NO027  VB003 1CA  30/11 0*3</t>
  </si>
  <si>
    <t>BMC03  VB021  2T  29/11  11*16 kt</t>
  </si>
  <si>
    <t>BPM2781  VB008US  1CA 1/12 kt</t>
  </si>
  <si>
    <t>BM0281  VB007  2CA 28/11 8*9</t>
  </si>
  <si>
    <t>SO06093D(BM50)  VB001US  1CA 29/11</t>
  </si>
  <si>
    <t>B0210(OCR) vb025  2ca 1/12</t>
  </si>
  <si>
    <t>B2874(AA)   VB011  1CA 1/12</t>
  </si>
  <si>
    <t>B0295  vb006  1ca  2/12</t>
  </si>
  <si>
    <r>
      <t xml:space="preserve">SP259499ANP vb001 </t>
    </r>
    <r>
      <rPr>
        <b/>
        <sz val="15"/>
        <color rgb="FFFF0000"/>
        <rFont val="Times New Roman"/>
        <family val="1"/>
      </rPr>
      <t>CNM5.0</t>
    </r>
    <r>
      <rPr>
        <b/>
        <sz val="15"/>
        <color theme="1"/>
        <rFont val="Times New Roman"/>
        <family val="1"/>
      </rPr>
      <t xml:space="preserve">  1CA 1/12</t>
    </r>
  </si>
  <si>
    <t>B1069 VA240  1CA  30/11</t>
  </si>
  <si>
    <t>BA37L(DN-U) VA001  4.5T  28/11 21*23</t>
  </si>
  <si>
    <t>12# OK</t>
  </si>
  <si>
    <t>BM(50M)1123(BPM) VA005  2CA 2/12</t>
  </si>
  <si>
    <t>BPM2366  VB013  2CA 29/11</t>
  </si>
  <si>
    <t>B2622P(C40/T40/EA20)  VB001  1CA 30/11</t>
  </si>
  <si>
    <t>BM2206  VB001  1CA 1/12</t>
  </si>
  <si>
    <t>BPM(50)1004  VA002  1CA 11/12</t>
  </si>
  <si>
    <t>SA191068BOCR-U VA017 2CA 29/11 1*4</t>
  </si>
  <si>
    <t>BPM(50)04B VA001  1CA 30/11</t>
  </si>
  <si>
    <t>SA200871AU  VA092  2CA 1/12</t>
  </si>
  <si>
    <t>BM12B  VA068  1T 29/11  3*7  kt</t>
  </si>
  <si>
    <t>BA37L(C60/ERT40-AA-U)  VA018   5T 29/11 25*31 kt</t>
  </si>
  <si>
    <t>B1069  VA239US  2T 30/11  8*16 kt</t>
  </si>
  <si>
    <t>BCVC07B  VA098  2CA 29/11 4*7</t>
  </si>
  <si>
    <r>
      <t xml:space="preserve">B1FP014 VB002  </t>
    </r>
    <r>
      <rPr>
        <b/>
        <sz val="15"/>
        <color rgb="FFFF0000"/>
        <rFont val="Times New Roman"/>
        <family val="1"/>
      </rPr>
      <t>CNM5.0</t>
    </r>
    <r>
      <rPr>
        <b/>
        <sz val="15"/>
        <color theme="1"/>
        <rFont val="Times New Roman"/>
        <family val="1"/>
      </rPr>
      <t xml:space="preserve">  1CA   1/12 kt</t>
    </r>
  </si>
  <si>
    <t>SGR92083B  vb198 4T 30/11-30/11  15*23 kt</t>
  </si>
  <si>
    <t>SO00195C  VB011  2.5T 29/11-30/11 12*16</t>
  </si>
  <si>
    <t>B2804  VB026  1CA 30/11 kt</t>
  </si>
  <si>
    <t>SGR92083B(CR30)  VB031US  1T  30/11  3*9</t>
  </si>
  <si>
    <t>B2793  VB017  5T 30/11  29*31</t>
  </si>
  <si>
    <t>BM2886  VB001  1CA  30/11   1*4</t>
  </si>
  <si>
    <t>BPM(20)06B  VA006 2CA 29/11 0*4</t>
  </si>
  <si>
    <t>B2659 va034  1ca 30/11</t>
  </si>
  <si>
    <t>B0284  va054us  1CA 1/12</t>
  </si>
  <si>
    <t>SO202477E VB027  1CA 30/11</t>
  </si>
  <si>
    <t>BPM2212  vb008us 2ca  1/12</t>
  </si>
  <si>
    <t>BM(50)10  VB017  1CA  1/12</t>
  </si>
  <si>
    <r>
      <t xml:space="preserve">BA2NF010  VB001  </t>
    </r>
    <r>
      <rPr>
        <sz val="18"/>
        <color rgb="FFFF0000"/>
        <rFont val="Times New Roman"/>
        <family val="1"/>
      </rPr>
      <t>sợi x-x</t>
    </r>
    <r>
      <rPr>
        <sz val="15"/>
        <color rgb="FFFF0000"/>
        <rFont val="Times New Roman"/>
        <family val="1"/>
      </rPr>
      <t>y</t>
    </r>
    <r>
      <rPr>
        <sz val="15"/>
        <color theme="1"/>
        <rFont val="Times New Roman"/>
        <family val="1"/>
      </rPr>
      <t xml:space="preserve">  1CA  30/11 KT</t>
    </r>
  </si>
  <si>
    <t>B11B  VA100  9T  13/12</t>
  </si>
  <si>
    <t>BCVC104  VA071  2CA 2/12</t>
  </si>
  <si>
    <t>SGR92083B(OCR-AA)  VB001US 2CA 30/11 kt</t>
  </si>
  <si>
    <t>BC02(OCR)  VB025  2CA 1/12 kt</t>
  </si>
  <si>
    <r>
      <t xml:space="preserve">SO152767C(XY)  VB077  </t>
    </r>
    <r>
      <rPr>
        <sz val="15"/>
        <color rgb="FFFF0000"/>
        <rFont val="Times New Roman"/>
        <family val="1"/>
      </rPr>
      <t>sợi X-XY</t>
    </r>
    <r>
      <rPr>
        <sz val="15"/>
        <color theme="1"/>
        <rFont val="Times New Roman"/>
        <family val="1"/>
      </rPr>
      <t xml:space="preserve"> 1.5T 5/12 kt</t>
    </r>
  </si>
  <si>
    <t>BOC(75)0285  VB001  2T 1/12  8*16  kt</t>
  </si>
  <si>
    <t>B0208  VB088US 1CA 1/12  kt</t>
  </si>
  <si>
    <t>B2829  VB020  1T 30/11  5*8kt</t>
  </si>
  <si>
    <t>BTCC02  VB052  3T  1/12  21*23</t>
  </si>
  <si>
    <t>B2622 VB011  1CA 2/12 kt</t>
  </si>
  <si>
    <t>SGR01874K(TC)  VB001IS  2CA  2/12 kt</t>
  </si>
  <si>
    <t>BCVC12B  VA082  3T 3/12  9*23  kt</t>
  </si>
  <si>
    <t>B04B(C60/ERT40)  VA013  2CA 1/12  0*4</t>
  </si>
  <si>
    <t>SA170299A(CVC-U)  VA039  1CA  2/12</t>
  </si>
  <si>
    <t>B0281  vb105  2ca  2/12</t>
  </si>
  <si>
    <t>SGR92083B  VB201  1CA  2/12</t>
  </si>
  <si>
    <t>BC04P(EA30)  VB008  2CA  4/12</t>
  </si>
  <si>
    <t>B0208(C60/ETB40)  VB033  1CA  2/12</t>
  </si>
  <si>
    <t>BC03(RE100-AA)  VB002  1CA  3/12</t>
  </si>
  <si>
    <t>B2347P(EA30) VB003  2CA 4/12</t>
  </si>
  <si>
    <t>B1019(AA)  VA135 1CA 4/12</t>
  </si>
  <si>
    <t>B1124   VA041  1CA  5/12</t>
  </si>
  <si>
    <r>
      <t>B1044  VA013 1CA  C</t>
    </r>
    <r>
      <rPr>
        <b/>
        <sz val="13"/>
        <color rgb="FFFF0000"/>
        <rFont val="Times New Roman"/>
        <family val="1"/>
      </rPr>
      <t>NM 5.0</t>
    </r>
    <r>
      <rPr>
        <b/>
        <sz val="13"/>
        <rFont val="Times New Roman"/>
        <family val="1"/>
      </rPr>
      <t xml:space="preserve">  6/12</t>
    </r>
  </si>
  <si>
    <t>14# ok</t>
  </si>
  <si>
    <t>BPM(50)C03  VB002  1CA 3/12 kt</t>
  </si>
  <si>
    <t>B0208(GC100)  vb007GEC  1CA  2/12 kt</t>
  </si>
  <si>
    <t>SO206427I  VB042  1T  1/12  6*8 kt</t>
  </si>
  <si>
    <t>B0280 VB044  2CA 3/12 kt</t>
  </si>
  <si>
    <t>BPM0210  VB040   2CA 2/12 1*3</t>
  </si>
  <si>
    <t>BTW(10)0213  VB001  1CA 4/12 kt</t>
  </si>
  <si>
    <t>BTC12B  VA066  1.5T 3/12   4*10  kt</t>
  </si>
  <si>
    <t>BA37L(CR50-AA-U)  VA007  2T  3/12  9*16 kt</t>
  </si>
  <si>
    <t>B1020(OCR)  va001  4T 4/12  17*23</t>
  </si>
  <si>
    <t>B2652  va075  3T  2/12  30*31</t>
  </si>
  <si>
    <t>SA229232AC50/ERT50-EY-U  VA004 SỢI  X-XY   1CA 3/12 kt</t>
  </si>
  <si>
    <t>SA259956AU va001  2T 3/12  13*16</t>
  </si>
  <si>
    <t>SA239394ABP-U  VA012  1CA 3/12 kt</t>
  </si>
  <si>
    <t>BPMC15  VB004  1CA 4/12</t>
  </si>
  <si>
    <t>BNC01  VB048  12T 1/12-6/12</t>
  </si>
  <si>
    <t>BNC01(CVC)  VB021  18T  24/11-7/12</t>
  </si>
  <si>
    <t>SA200871AC45/TE40LF/ER15-U  va002  1ca  3/12</t>
  </si>
  <si>
    <t>11# ok</t>
  </si>
  <si>
    <r>
      <rPr>
        <b/>
        <sz val="13"/>
        <color rgb="FFFF0000"/>
        <rFont val="Times New Roman"/>
        <family val="1"/>
      </rPr>
      <t>B</t>
    </r>
    <r>
      <rPr>
        <b/>
        <sz val="13"/>
        <rFont val="Times New Roman"/>
        <family val="1"/>
      </rPr>
      <t>04B  VA139  8T  3/12 kt</t>
    </r>
  </si>
  <si>
    <r>
      <t xml:space="preserve">BCVC04B  VA096 </t>
    </r>
    <r>
      <rPr>
        <b/>
        <sz val="13"/>
        <color rgb="FFFF0000"/>
        <rFont val="Times New Roman"/>
        <family val="1"/>
      </rPr>
      <t>cnm5.0</t>
    </r>
    <r>
      <rPr>
        <b/>
        <sz val="13"/>
        <color theme="1"/>
        <rFont val="Times New Roman"/>
        <family val="1"/>
      </rPr>
      <t xml:space="preserve">  1CA 4/12 kt</t>
    </r>
  </si>
  <si>
    <t>B1029P(EA30) va026 2ca 7/12 kt</t>
  </si>
  <si>
    <t>SA259469A  VB009  2CA 3/12  0*3</t>
  </si>
  <si>
    <t>SGR92083B(BPM50)  VB009US 1CA  4/12 kt</t>
  </si>
  <si>
    <r>
      <t xml:space="preserve">B2311  VB001  </t>
    </r>
    <r>
      <rPr>
        <b/>
        <sz val="15"/>
        <color rgb="FFFF0000"/>
        <rFont val="Times New Roman"/>
        <family val="1"/>
      </rPr>
      <t>CNM5.0</t>
    </r>
    <r>
      <rPr>
        <b/>
        <sz val="15"/>
        <color theme="1"/>
        <rFont val="Times New Roman"/>
        <family val="1"/>
      </rPr>
      <t xml:space="preserve">  1CA  3/12 0*3</t>
    </r>
  </si>
  <si>
    <r>
      <t xml:space="preserve">B2803  VB001  </t>
    </r>
    <r>
      <rPr>
        <b/>
        <sz val="15"/>
        <color rgb="FFFF0000"/>
        <rFont val="Times New Roman"/>
        <family val="1"/>
      </rPr>
      <t xml:space="preserve">CNM5.0 </t>
    </r>
    <r>
      <rPr>
        <b/>
        <sz val="15"/>
        <color theme="1"/>
        <rFont val="Times New Roman"/>
        <family val="1"/>
      </rPr>
      <t xml:space="preserve"> 1CA  3/12</t>
    </r>
  </si>
  <si>
    <t>B2282  vb043  1CA  2/12</t>
  </si>
  <si>
    <t>BPM2656  VB003  1CA 5/12 kt</t>
  </si>
  <si>
    <t>BCR(30)2214A  VB033US  5T 5/12-5/12  25*31</t>
  </si>
  <si>
    <t>CƠ tháo tạm bánh  răng</t>
  </si>
  <si>
    <t>đổi cự ly 10x23x30</t>
  </si>
  <si>
    <t>B2868 vb002  1ca  4/12</t>
  </si>
  <si>
    <t>BC02(OCR)  VB026  2CA 5/12</t>
  </si>
  <si>
    <t>SA248530ABM100-U  VA005  2CA 7/12</t>
  </si>
  <si>
    <t>BA37L(U)  va192  2ca 5/12</t>
  </si>
  <si>
    <t>SGR92083B(TC)  VB001  1CA  6/12</t>
  </si>
  <si>
    <t>BPM(50)2878  VB001  1CA  6/12</t>
  </si>
  <si>
    <t>SA259374BAA-U  va001  1ca  6/12 kt</t>
  </si>
  <si>
    <t>SO41269A(U) VA056 1CA  4/12 0*4  kt</t>
  </si>
  <si>
    <t>B1005(OCR)  VA002  1.5T 5/12  6*10</t>
  </si>
  <si>
    <t>B2652   VA076UA 2T  5/12  7*16 kt</t>
  </si>
  <si>
    <t>BPMAB066  VA002  SỢI B-sợi A  1T 5/12 4*4+0*4</t>
  </si>
  <si>
    <t>BUM009AERC30-AA  VA020  1CA  kt</t>
  </si>
  <si>
    <t>SO15012F(ERT65/C35)  VB001US  2CA  21/12</t>
  </si>
  <si>
    <t>SGR92083B(BPM20)  VB040  1T  6/12 2*8</t>
  </si>
  <si>
    <r>
      <rPr>
        <b/>
        <sz val="15"/>
        <color rgb="FFFF0000"/>
        <rFont val="Times New Roman"/>
        <family val="1"/>
      </rPr>
      <t>B</t>
    </r>
    <r>
      <rPr>
        <b/>
        <sz val="15"/>
        <color theme="1"/>
        <rFont val="Times New Roman"/>
        <family val="1"/>
      </rPr>
      <t>C02  VB145   22T  25/11-25/12 KT</t>
    </r>
  </si>
  <si>
    <t>SO259233A  VB004  1CA 4/12  1*3</t>
  </si>
  <si>
    <t>BPM0214KC VB002  2CA 4/12  0*3</t>
  </si>
  <si>
    <t>BM0212  VB019 1CA  5/12 KT</t>
  </si>
  <si>
    <t>B12B  VA158 US 16T 9/12</t>
  </si>
  <si>
    <t>B12B  VA158 US 16T 10/12</t>
  </si>
  <si>
    <t>B2651  VB016NB  7T  9/12</t>
  </si>
  <si>
    <t>BAB037  va030  sợi B-A  2CA  7/12</t>
  </si>
  <si>
    <t>BM1124  VA007  1CA 5/12</t>
  </si>
  <si>
    <t>BOC0208  VB005  1CA 8/12</t>
  </si>
  <si>
    <r>
      <t xml:space="preserve">B0242  VB001  </t>
    </r>
    <r>
      <rPr>
        <b/>
        <sz val="15"/>
        <color rgb="FFFF0000"/>
        <rFont val="Times New Roman"/>
        <family val="1"/>
      </rPr>
      <t>CNM 5.0</t>
    </r>
    <r>
      <rPr>
        <b/>
        <sz val="15"/>
        <color theme="1"/>
        <rFont val="Times New Roman"/>
        <family val="1"/>
      </rPr>
      <t xml:space="preserve">  1CA  8/12</t>
    </r>
  </si>
  <si>
    <t>B0210(OCR)  VB026  2CA  6/12</t>
  </si>
  <si>
    <t>15/12 GIAO 25000 LB. 22/12 GIAO THÊM 70000 LB.</t>
  </si>
  <si>
    <t>28/12 GIAO THÊM 15000 LB</t>
  </si>
  <si>
    <t>4/1 GIAO THÊM 35000 LB</t>
  </si>
  <si>
    <t xml:space="preserve">11/1 GIAO THÊM 34500 LB KT </t>
  </si>
  <si>
    <t>CÒN 40S 5200LB 15/12 GIAO KT</t>
  </si>
  <si>
    <r>
      <t xml:space="preserve">BS12B   VA160 </t>
    </r>
    <r>
      <rPr>
        <b/>
        <sz val="13"/>
        <color rgb="FFFF0000"/>
        <rFont val="Times New Roman"/>
        <family val="1"/>
      </rPr>
      <t xml:space="preserve"> cnm  5.0 </t>
    </r>
    <r>
      <rPr>
        <b/>
        <sz val="13"/>
        <color theme="1"/>
        <rFont val="Times New Roman"/>
        <family val="1"/>
      </rPr>
      <t xml:space="preserve"> 1ca  5/12</t>
    </r>
  </si>
  <si>
    <r>
      <rPr>
        <b/>
        <sz val="15"/>
        <color rgb="FFFF0000"/>
        <rFont val="Times New Roman"/>
        <family val="1"/>
      </rPr>
      <t>B</t>
    </r>
    <r>
      <rPr>
        <b/>
        <sz val="15"/>
        <color theme="1"/>
        <rFont val="Times New Roman"/>
        <family val="1"/>
      </rPr>
      <t>C02  VB145   22T  1/12-5/12</t>
    </r>
  </si>
  <si>
    <r>
      <rPr>
        <b/>
        <sz val="15"/>
        <color rgb="FFFF0000"/>
        <rFont val="Times New Roman"/>
        <family val="1"/>
      </rPr>
      <t>B</t>
    </r>
    <r>
      <rPr>
        <b/>
        <sz val="15"/>
        <color theme="1"/>
        <rFont val="Times New Roman"/>
        <family val="1"/>
      </rPr>
      <t>C02  VB145   22T  1/12-25/12 kt</t>
    </r>
  </si>
  <si>
    <t>SGR92083B  VB202  1CA 5/12 1*3</t>
  </si>
  <si>
    <t>BPM(20)C04  VB001  5T 4/12  30*31 kt</t>
  </si>
  <si>
    <t>BNC01(CVC)  VB021  18T  24/11-6/12 kt</t>
  </si>
  <si>
    <r>
      <t xml:space="preserve">B2869  VB001  </t>
    </r>
    <r>
      <rPr>
        <b/>
        <sz val="15"/>
        <color rgb="FFFF0000"/>
        <rFont val="Times New Roman"/>
        <family val="1"/>
      </rPr>
      <t>CNM 5.0</t>
    </r>
    <r>
      <rPr>
        <b/>
        <sz val="15"/>
        <rFont val="Times New Roman"/>
        <family val="1"/>
      </rPr>
      <t xml:space="preserve">  1CA 8/12 kt</t>
    </r>
  </si>
  <si>
    <t>BSA3871ABPM20  VB033  2T  6/12  11*16</t>
  </si>
  <si>
    <t>B0278   vb094  2ca 6/12  kt</t>
  </si>
  <si>
    <t>SGR92083B(CR30) VB032US 2CA 8/12</t>
  </si>
  <si>
    <t>BCVC(40ET)0209  VB011 1T 7/12  0*9</t>
  </si>
  <si>
    <t>BM(50)11B  VA002  2CA 5/12  0*4</t>
  </si>
  <si>
    <t>BA37L(CR20-AA-U)  va020  2ca 5/12  1*4</t>
  </si>
  <si>
    <t>B1124(C60/ETB40)  va033  7T  4/10 kt</t>
  </si>
  <si>
    <t>XY</t>
  </si>
  <si>
    <t>SO00195C VB012 8T 8/12</t>
  </si>
  <si>
    <t>SV239206AAG3G-U  VA004  1CA  6/12 kt</t>
  </si>
  <si>
    <t>BA37L(C60/ERT40-U)  va019  1ca 6/12 kt</t>
  </si>
  <si>
    <t>B0284  va055  2ca 6/12  0*4</t>
  </si>
  <si>
    <r>
      <t xml:space="preserve">B1069  va242  </t>
    </r>
    <r>
      <rPr>
        <b/>
        <sz val="13"/>
        <color rgb="FFFF0000"/>
        <rFont val="Times New Roman"/>
        <family val="1"/>
      </rPr>
      <t>CNM  5.0</t>
    </r>
    <r>
      <rPr>
        <b/>
        <sz val="13"/>
        <color theme="1"/>
        <rFont val="Times New Roman"/>
        <family val="1"/>
      </rPr>
      <t xml:space="preserve">  1CA 5/12</t>
    </r>
  </si>
  <si>
    <t>BM(70M)1068(BPM-AA)  VA017  2CA 6/12 0*4</t>
  </si>
  <si>
    <t>B2214  VB129  1CA  5/12 kt</t>
  </si>
  <si>
    <t>BC04  VB095  2CA 6/12 1*3</t>
  </si>
  <si>
    <t>B2708  VB002  2T  8/12  5*16</t>
  </si>
  <si>
    <t>tháo suốt</t>
  </si>
  <si>
    <r>
      <rPr>
        <b/>
        <sz val="15"/>
        <color rgb="FFFF0000"/>
        <rFont val="Times New Roman"/>
        <family val="1"/>
      </rPr>
      <t>B</t>
    </r>
    <r>
      <rPr>
        <b/>
        <sz val="15"/>
        <color theme="1"/>
        <rFont val="Times New Roman"/>
        <family val="1"/>
      </rPr>
      <t>C02  VB145   22T  1/12-7/12</t>
    </r>
  </si>
  <si>
    <t>SGR41668A(CVC5-U)  VA040  11T  7/12</t>
  </si>
  <si>
    <t>BOC1069  VA018  1CA 8/12</t>
  </si>
  <si>
    <r>
      <t xml:space="preserve">B1067  va154 </t>
    </r>
    <r>
      <rPr>
        <b/>
        <sz val="13"/>
        <color rgb="FFFF0000"/>
        <rFont val="Times New Roman"/>
        <family val="1"/>
      </rPr>
      <t xml:space="preserve">CNM 5.0 </t>
    </r>
    <r>
      <rPr>
        <b/>
        <sz val="13"/>
        <color theme="1"/>
        <rFont val="Times New Roman"/>
        <family val="1"/>
      </rPr>
      <t xml:space="preserve"> 1ca 9/12</t>
    </r>
  </si>
  <si>
    <t>B14B(OCR)  va017  1ca  10/12</t>
  </si>
  <si>
    <t>B0208(C60/ERT40) VB001  1CA 6/12 0*3</t>
  </si>
  <si>
    <r>
      <t xml:space="preserve">B0217  VB016 </t>
    </r>
    <r>
      <rPr>
        <b/>
        <sz val="15"/>
        <color rgb="FFFF0000"/>
        <rFont val="Times New Roman"/>
        <family val="1"/>
      </rPr>
      <t>CNM5.0</t>
    </r>
    <r>
      <rPr>
        <b/>
        <sz val="15"/>
        <color theme="1"/>
        <rFont val="Times New Roman"/>
        <family val="1"/>
      </rPr>
      <t xml:space="preserve">  1CA  9/12</t>
    </r>
  </si>
  <si>
    <t>B2622P(C40/T40/EA20)  VB002  1CA 7/12</t>
  </si>
  <si>
    <t>BPM2789  VB006IS 2T 6/12  6*8</t>
  </si>
  <si>
    <t>B05  VB088</t>
  </si>
  <si>
    <t>3JC B049</t>
  </si>
  <si>
    <t>SGR92083B(C60/ERT40-AA) VB013   1CA  9/12</t>
  </si>
  <si>
    <t>B04B  VA140US</t>
  </si>
  <si>
    <t>4 JC VA038 + 2 TTDQ UV-11366</t>
  </si>
  <si>
    <t xml:space="preserve">B11B  VA101 </t>
  </si>
  <si>
    <t>2 VA039 + 1 VA018 + 2JC VA018</t>
  </si>
  <si>
    <t xml:space="preserve">B04B  VA139 </t>
  </si>
  <si>
    <t>3 JC VA039+ 3 VA020</t>
  </si>
  <si>
    <t xml:space="preserve">BA37L(U)  VA190  </t>
  </si>
  <si>
    <t>3 VA020 +2 JC VA038</t>
  </si>
  <si>
    <t xml:space="preserve">B1123  VA028 </t>
  </si>
  <si>
    <t>5 JC VA018</t>
  </si>
  <si>
    <t>5 VA020+ 1 VA039</t>
  </si>
  <si>
    <t>BVA004A  VA034</t>
  </si>
  <si>
    <t>3 va020+2 JC  VA039</t>
  </si>
  <si>
    <t>VA038</t>
  </si>
  <si>
    <t>VA039</t>
  </si>
  <si>
    <t>UV- TRỘN LÔ</t>
  </si>
  <si>
    <t>BA37L-OE  VA191</t>
  </si>
  <si>
    <t>VA018</t>
  </si>
  <si>
    <t>VA020</t>
  </si>
  <si>
    <t>VA019Y</t>
  </si>
  <si>
    <t>SO06093D(BPM50) VB001US  1CA  8/12 kt</t>
  </si>
  <si>
    <t>B01-RM  VB006  2T 9/12  1*16 kt</t>
  </si>
  <si>
    <t>SA219061C  VB039  3T 10/12  14*23</t>
  </si>
  <si>
    <t>B0280  VB045 1T  8/12  0*3</t>
  </si>
  <si>
    <t>SO259231AC60/RE40 VB008  5T  8/12.  30*31</t>
  </si>
  <si>
    <t>SO206427IBPM-DN  VB011  2T 8/12. 5*16 kt</t>
  </si>
  <si>
    <t>B2879(AA)  VB009  1CA 7/12</t>
  </si>
  <si>
    <t>BCVC(20)12B  va002  1T  8/12  5*7</t>
  </si>
  <si>
    <t>SGR82938A(BOC10-U)  VA031  3T 7/12 12*16 KT</t>
  </si>
  <si>
    <t>SO156245H(XYS-U) VA003  sợi X-XY 2CA 8/12</t>
  </si>
  <si>
    <t>BVA004A  VA034  17T  10/12</t>
  </si>
  <si>
    <t>SO95703B(CVC-XY)  VB004US  SỢI X- XY 1CA 9/12</t>
  </si>
  <si>
    <t>SB258077BBPM  VB001  2CA 8/12  2*3</t>
  </si>
  <si>
    <t>BA2NF010  VB002 sợi x-xy  1CA 10/12</t>
  </si>
  <si>
    <t>BA37M(BTE50-AA)  VB002  1CA 20/12</t>
  </si>
  <si>
    <t>B1124(C60/ETB40)  va039  7T   12/12</t>
  </si>
  <si>
    <r>
      <t xml:space="preserve">B09B(C60/ETB40)  VA027  </t>
    </r>
    <r>
      <rPr>
        <b/>
        <sz val="13"/>
        <color rgb="FFFF0000"/>
        <rFont val="Times New Roman"/>
        <family val="1"/>
      </rPr>
      <t>CNM5.0</t>
    </r>
    <r>
      <rPr>
        <b/>
        <sz val="13"/>
        <color theme="1"/>
        <rFont val="Times New Roman"/>
        <family val="1"/>
      </rPr>
      <t xml:space="preserve">  2CA 14/12</t>
    </r>
  </si>
  <si>
    <t>BFC13-03(CVC)  VB002  2CA 9/12</t>
  </si>
  <si>
    <t>B2366  VB095 1CA  10/12  kt</t>
  </si>
  <si>
    <t>B0278  VB095  1Ca 9/12  0*3</t>
  </si>
  <si>
    <t>BM0212  VB020  1CA 10/12 kt</t>
  </si>
  <si>
    <t>BTCC02  VB053  2CA  10/12 kt</t>
  </si>
  <si>
    <t>B0221 vb028  3T  11/12  16*23</t>
  </si>
  <si>
    <t>BPM(30)12B  VA001  1CA  10/12 KT</t>
  </si>
  <si>
    <t>BA37L(CR20-AA-U)  VA019  9T  9/12  KT</t>
  </si>
  <si>
    <t>B2622(OCR)  VB001  1CA 12/12</t>
  </si>
  <si>
    <t>SO241576AXYS  VB001  sợi X   1ca  10/11</t>
  </si>
  <si>
    <t xml:space="preserve">BTE(LF)C03  VB001  1CA 13/12 </t>
  </si>
  <si>
    <t>SO258106AERN30-U  VA001  2CA 26/1</t>
  </si>
  <si>
    <t>BPM3405  VB002  1CA  12/12</t>
  </si>
  <si>
    <t>B2782  VB023  1CA 12/12</t>
  </si>
  <si>
    <t>BC02  VB148US 5T 10/12   29*31</t>
  </si>
  <si>
    <t>BC03  VB110  10T  1/12-10/12 KT</t>
  </si>
  <si>
    <t>B2786  VB005  1CA  9/12  0*3 KT</t>
  </si>
  <si>
    <t>B06G(FH18)(BOC20-AA)  vb026  23T 27/11-9/12 KT</t>
  </si>
  <si>
    <t>BPM2299KC VB004  2ca  10/12   7*8</t>
  </si>
  <si>
    <t>BM(100M)C03  VB004  2T 12/12  13*17</t>
  </si>
  <si>
    <t>SB249373AU  va001  2ca 9/12  3*4 kt</t>
  </si>
  <si>
    <t>B02B(OCR)  VA003UA  2T 12/12  4*10</t>
  </si>
  <si>
    <t>BCVC07B  VA099 1CA 11/12  kt</t>
  </si>
  <si>
    <r>
      <rPr>
        <b/>
        <sz val="13"/>
        <color rgb="FFFF0000"/>
        <rFont val="Times New Roman"/>
        <family val="1"/>
      </rPr>
      <t xml:space="preserve">B04B(C60/ERT40) </t>
    </r>
    <r>
      <rPr>
        <b/>
        <sz val="13"/>
        <color theme="1"/>
        <rFont val="Times New Roman"/>
        <family val="1"/>
      </rPr>
      <t xml:space="preserve"> VA014  </t>
    </r>
    <r>
      <rPr>
        <b/>
        <sz val="13"/>
        <color rgb="FFFF0000"/>
        <rFont val="Times New Roman"/>
        <family val="1"/>
      </rPr>
      <t>CNM 5.0</t>
    </r>
    <r>
      <rPr>
        <b/>
        <sz val="13"/>
        <color theme="1"/>
        <rFont val="Times New Roman"/>
        <family val="1"/>
      </rPr>
      <t xml:space="preserve"> 2CA  15/12</t>
    </r>
  </si>
  <si>
    <t>SO259976D  VB001   2CA 14/12</t>
  </si>
  <si>
    <t>SO259561A  VB005  1CA 10/12</t>
  </si>
  <si>
    <t>SO241578BXYS VB001  sợi x 1ca  11/11</t>
  </si>
  <si>
    <t>BC03  VB111  11T    10/12</t>
  </si>
  <si>
    <t>B0281  VB104  5T 12/12-15/12</t>
  </si>
  <si>
    <t>SO251216A  VB007  7T   10/12- 16/12</t>
  </si>
  <si>
    <t>B0284  VA056US   12ca  11/12  0*3</t>
  </si>
  <si>
    <t>BA37L(M60/BPM40-AA-U)  va003  4.5T  12/12   32*34</t>
  </si>
  <si>
    <t>BR09B(AA)  VA002   1CA  13/12</t>
  </si>
  <si>
    <t>BOC(90)C03  VB010  2CA  11/12 0*3</t>
  </si>
  <si>
    <t>SO249374B  VB002  2CA 10/12</t>
  </si>
  <si>
    <r>
      <t xml:space="preserve">B2391  VB001  </t>
    </r>
    <r>
      <rPr>
        <b/>
        <sz val="15"/>
        <color rgb="FFFF0000"/>
        <rFont val="Times New Roman"/>
        <family val="1"/>
      </rPr>
      <t>CNM5.0</t>
    </r>
    <r>
      <rPr>
        <b/>
        <sz val="15"/>
        <color theme="1"/>
        <rFont val="Times New Roman"/>
        <family val="1"/>
      </rPr>
      <t xml:space="preserve">   1CA  10/12</t>
    </r>
  </si>
  <si>
    <t>B0209  VB050  1T 10/12 5*8</t>
  </si>
  <si>
    <t>SGR92083B(BPM20)-RM VB015  1CA 12/12</t>
  </si>
  <si>
    <t>BC02(OCR)  VB027US  1CA 11/12  0*3</t>
  </si>
  <si>
    <t>BC04  VB096  2CA 10/12</t>
  </si>
  <si>
    <t>B0285(OCN)  VB002  2CA 11/12 1*3</t>
  </si>
  <si>
    <t>B2784(GC100)  VB001GEC  1.5T  13/12  4*8</t>
  </si>
  <si>
    <r>
      <t xml:space="preserve">SO241576AXYS  VB001 </t>
    </r>
    <r>
      <rPr>
        <sz val="15"/>
        <color rgb="FFFF0000"/>
        <rFont val="Times New Roman"/>
        <family val="1"/>
      </rPr>
      <t>XY</t>
    </r>
    <r>
      <rPr>
        <sz val="15"/>
        <color theme="1"/>
        <rFont val="Times New Roman"/>
        <family val="1"/>
      </rPr>
      <t xml:space="preserve"> 1T 11/11 6*8</t>
    </r>
  </si>
  <si>
    <t>B0212  vb067  2T  13/12  8*16</t>
  </si>
  <si>
    <t>SO206427IBPM-DN  VB010 chạy trước 51.12LB- CÒN LẠI  1T 12/12 3*3+5*8</t>
  </si>
  <si>
    <t>SGR92083B(C60/ERT40) VB014  1CA  11/12 0*4</t>
  </si>
  <si>
    <t>B1004  va218  1ca 13/12</t>
  </si>
  <si>
    <t>B07B  VA137  4T 11/12  21*23</t>
  </si>
  <si>
    <r>
      <t xml:space="preserve">B1069  va243  </t>
    </r>
    <r>
      <rPr>
        <b/>
        <sz val="13"/>
        <color rgb="FFFF0000"/>
        <rFont val="Times New Roman"/>
        <family val="1"/>
      </rPr>
      <t>CNM 5.0</t>
    </r>
    <r>
      <rPr>
        <b/>
        <sz val="13"/>
        <color theme="1"/>
        <rFont val="Times New Roman"/>
        <family val="1"/>
      </rPr>
      <t xml:space="preserve">  1ca 12/12</t>
    </r>
  </si>
  <si>
    <t>BVO004B  VB006  1CA 13/12 kt</t>
  </si>
  <si>
    <r>
      <rPr>
        <sz val="15"/>
        <rFont val="Times New Roman"/>
        <family val="1"/>
      </rPr>
      <t>SO241578BXYS VB001</t>
    </r>
    <r>
      <rPr>
        <sz val="15"/>
        <color rgb="FFFF0000"/>
        <rFont val="Times New Roman"/>
        <family val="1"/>
      </rPr>
      <t xml:space="preserve">  XY 1T  </t>
    </r>
    <r>
      <rPr>
        <sz val="15"/>
        <rFont val="Times New Roman"/>
        <family val="1"/>
      </rPr>
      <t>13/11  4*8</t>
    </r>
  </si>
  <si>
    <t>BOC2622  VB002  1T 12/12  1*8  kt</t>
  </si>
  <si>
    <t>BCVC2366  VB022  1T  12/12  3*8  kt</t>
  </si>
  <si>
    <t>B0208(C60/ETB40)  vb034  2T  13/12  8*16  kt</t>
  </si>
  <si>
    <t>SO206427I  VB043  8 búp 1T 14/12  0*8</t>
  </si>
  <si>
    <t>SO06093D(BM50)  VB002US  2CA 13/12 3*4</t>
  </si>
  <si>
    <t>BM2830(AA)  VB001  1CA 13/12</t>
  </si>
  <si>
    <t>BM1068(AA)  VA007  7T 14/12. kt</t>
  </si>
  <si>
    <t>BCVC(5)1068  VA031  1T 13/12  2*7</t>
  </si>
  <si>
    <r>
      <t xml:space="preserve">SA170299A(U)  VA054 </t>
    </r>
    <r>
      <rPr>
        <b/>
        <sz val="13"/>
        <rFont val="Times New Roman"/>
        <family val="1"/>
      </rPr>
      <t xml:space="preserve">cnm5.0 </t>
    </r>
    <r>
      <rPr>
        <b/>
        <sz val="13"/>
        <color rgb="FFFF0000"/>
        <rFont val="Times New Roman"/>
        <family val="1"/>
      </rPr>
      <t xml:space="preserve"> 2CA 12/12  3*4</t>
    </r>
  </si>
  <si>
    <t>BCVC12B  VA083 2CA 12/12  1*4</t>
  </si>
  <si>
    <t>BM1124  VA008  1CA 13/12</t>
  </si>
  <si>
    <r>
      <rPr>
        <b/>
        <sz val="13"/>
        <rFont val="Times New Roman"/>
        <family val="1"/>
      </rPr>
      <t xml:space="preserve">B09B(C60/ETB40)  VA028 </t>
    </r>
    <r>
      <rPr>
        <b/>
        <sz val="13"/>
        <color rgb="FFFF0000"/>
        <rFont val="Times New Roman"/>
        <family val="1"/>
      </rPr>
      <t xml:space="preserve"> CNM5.0  </t>
    </r>
    <r>
      <rPr>
        <b/>
        <sz val="13"/>
        <color theme="1"/>
        <rFont val="Times New Roman"/>
        <family val="1"/>
      </rPr>
      <t>2CA  14/12</t>
    </r>
  </si>
  <si>
    <t xml:space="preserve">SA259568BBM100M-U va001   2T  13/12 9*10 ngưng k chạy </t>
  </si>
  <si>
    <t>B2621  VB098US  9T  9/12-15/12</t>
  </si>
  <si>
    <t>BPM2656  VB004  1CA 16/12</t>
  </si>
  <si>
    <t>B04B(AA)  va142  1ca  13/12</t>
  </si>
  <si>
    <t>SA170299A(BPM20-U)  VA001  1CA 14/12</t>
  </si>
  <si>
    <t>SA200871ACVC-U  VA046  1CA  15/12</t>
  </si>
  <si>
    <t>SA200871AU  VA093  1CA 3/12</t>
  </si>
  <si>
    <t>BPM(50)09B  VA001  1CA 14/12</t>
  </si>
  <si>
    <t>BA37L(U)  VA190  17T  22/12</t>
  </si>
  <si>
    <t>BOC(90)0202  VB001  1CA  LUCKY</t>
  </si>
  <si>
    <t>B2793(OCR)  VB002  3T 13/12  11*16 kt</t>
  </si>
  <si>
    <t>BNC04C  VB052  2T 14/12  11*16</t>
  </si>
  <si>
    <t>B2789(GC100)  VB001GEC  2T  15/12  9*16</t>
  </si>
  <si>
    <r>
      <t xml:space="preserve">B1NA13  VB014 </t>
    </r>
    <r>
      <rPr>
        <sz val="15"/>
        <color rgb="FFFF0000"/>
        <rFont val="Times New Roman"/>
        <family val="1"/>
      </rPr>
      <t>sợi X- XY</t>
    </r>
    <r>
      <rPr>
        <sz val="15"/>
        <rFont val="Times New Roman"/>
        <family val="1"/>
      </rPr>
      <t xml:space="preserve">  1T  15/12  0*8</t>
    </r>
  </si>
  <si>
    <t>SO206427I  VB043  8 búp 1T 13/12  6*8</t>
  </si>
  <si>
    <t>BCVC0208  VB062  2CA  16/12  kt</t>
  </si>
  <si>
    <t>BPM2366  VB014  2T 15/12  11*16</t>
  </si>
  <si>
    <t>BR0208(AA)  VB002  1CA  14/12  0*4</t>
  </si>
  <si>
    <t>SO259233A  VB005  2CA  13/12  0*3</t>
  </si>
  <si>
    <t>B1069(OCR)  VA021    2.5T 13/12  12*16 kt</t>
  </si>
  <si>
    <t>B11B(C60/ETB40)  VA013  3T 15/12  7*16</t>
  </si>
  <si>
    <t>BOC1069  VA019  1CA 13/12  2*4</t>
  </si>
  <si>
    <t>B1029  VA033  1CA 13/12  0*4</t>
  </si>
  <si>
    <r>
      <t xml:space="preserve">B1069(C60/ERT40)  VA006 </t>
    </r>
    <r>
      <rPr>
        <b/>
        <sz val="13"/>
        <color rgb="FFFF0000"/>
        <rFont val="Times New Roman"/>
        <family val="1"/>
      </rPr>
      <t xml:space="preserve">CNM 5.0 </t>
    </r>
    <r>
      <rPr>
        <b/>
        <sz val="13"/>
        <color theme="1"/>
        <rFont val="Times New Roman"/>
        <family val="1"/>
      </rPr>
      <t xml:space="preserve"> 1CA 14/12 0*4</t>
    </r>
  </si>
  <si>
    <t>B1069  VA241US  10T  18/12</t>
  </si>
  <si>
    <t>B1019  VA137 4T 13/12</t>
  </si>
  <si>
    <t>SO206427I  VB044US  2CA 15/12</t>
  </si>
  <si>
    <t>SGR92083B  VB203  21T  19/12-11/1</t>
  </si>
  <si>
    <t>B2656 VB069  1CA 13/12</t>
  </si>
  <si>
    <t>SO259977B  VB001  1T 17/12 kt</t>
  </si>
  <si>
    <t>BC04  VB097 2CA 14/12</t>
  </si>
  <si>
    <t>SGR92083B(BPM20)  VB041  2CA  14/12</t>
  </si>
  <si>
    <t>BC02  VB150UA  2CA  14/12 kt</t>
  </si>
  <si>
    <t>SGR91885D  VB022  2CA  15/12 2*3</t>
  </si>
  <si>
    <t>B2879  VB010  1CA 18/12 kt</t>
  </si>
  <si>
    <t>BPM2657  VB005US  1CA 17/12  kt</t>
  </si>
  <si>
    <t>BPM2214DN  vb002  1.5T  16/12  3*8</t>
  </si>
  <si>
    <t>SO95703B(XY) VB006  sợi X- XY  1CA  15/12 2*3</t>
  </si>
  <si>
    <t>SA259681CAGD3-U  VA002  1CA   14/12 kt</t>
  </si>
  <si>
    <t>BM1068(AA)  VA008  2T 15/12  7*16 kt</t>
  </si>
  <si>
    <t>B1019  VA139  11 BÚP  1.5T  16/12  7*11</t>
  </si>
  <si>
    <t>B1019  VA139  12 BÚP  1.5T  16/12 9*12</t>
  </si>
  <si>
    <t>SA191068BRE100-AA-U va004  1ca  15/12  0*4</t>
  </si>
  <si>
    <t>BTC12B  va067 1T   14/12</t>
  </si>
  <si>
    <t>BCVC11B  VA135  2CA  14//12</t>
  </si>
  <si>
    <t>BCVC07B  VA100  2CA  14/12</t>
  </si>
  <si>
    <t>BPM2656  vb004  1ca  20/12 chạy lại</t>
  </si>
  <si>
    <r>
      <rPr>
        <sz val="13"/>
        <color rgb="FFFF0000"/>
        <rFont val="Times New Roman"/>
        <family val="1"/>
      </rPr>
      <t xml:space="preserve">VA140US </t>
    </r>
    <r>
      <rPr>
        <sz val="13"/>
        <rFont val="Times New Roman"/>
        <family val="1"/>
      </rPr>
      <t xml:space="preserve">   B04B   20T  16/12</t>
    </r>
  </si>
  <si>
    <t>đổi cư ly  14</t>
  </si>
  <si>
    <t>BM(70M)1068(BPM-AA)  VA018  2CA   19/12</t>
  </si>
  <si>
    <t>B2207(C60/ETB40)  vb008  1ca 16/12</t>
  </si>
  <si>
    <t>BTE(70LF)2207  VB001  2CA  17/12</t>
  </si>
  <si>
    <t>B2795  vb009US  2CA 17/12</t>
  </si>
  <si>
    <t>B2282  VB044  2CA  17/12</t>
  </si>
  <si>
    <t>BS0212  VB068  2CA  17/12</t>
  </si>
  <si>
    <t>ĐỔI CỰ LY  13</t>
  </si>
  <si>
    <t>B1124(ERT65/C35-AA)  VA002  1T  LUCKY CỰ LY 13</t>
  </si>
  <si>
    <t>B2866  vb026  1ca 16/12 KT</t>
  </si>
  <si>
    <t>B06G(FH18)(BOC20-AA)  vb026  23T 27/11-17/12  KT</t>
  </si>
  <si>
    <t>BC04  VB093  14T  5/12-16/12  KT</t>
  </si>
  <si>
    <t>B1068  va151  19T  9/1</t>
  </si>
  <si>
    <t>BTC2829  VB001  1CA  16/12 kt</t>
  </si>
  <si>
    <t>BOC(90)C02  VB042  1CA  15/12   0*3 kt</t>
  </si>
  <si>
    <t>B2385 VB033  2T  16/12  20*23</t>
  </si>
  <si>
    <t>B2622(OCR)  vb002  1CA 16/12 kt</t>
  </si>
  <si>
    <t>SO27089A  VB013US  1T 16/12  2*8  kt</t>
  </si>
  <si>
    <t>B2746  VB030  2CA 16/12  kt</t>
  </si>
  <si>
    <t>B2299(C60/ETB40)  VB001  1CA  16/12 0*3</t>
  </si>
  <si>
    <t>B1069(OCN)  VA075  3T  16/12 12*16 kt</t>
  </si>
  <si>
    <t>BPM2659  VA002  1CA 17/12 kt</t>
  </si>
  <si>
    <t>BA37L(U)  VA190  17T  20/12</t>
  </si>
  <si>
    <t>B1117(OCN)  VA002  2CA  20/12</t>
  </si>
  <si>
    <t xml:space="preserve">B1069(OCN60/ETB40-AA)  VA024 </t>
  </si>
  <si>
    <t>3m+ 3 bros +2 jc tnk vetu</t>
  </si>
  <si>
    <t>TNK  VETU</t>
  </si>
  <si>
    <t xml:space="preserve">SGR82938A(BOC10-U)  VA032 </t>
  </si>
  <si>
    <t>4M+ 1 JC VA039+ 1 JC VA018+2 VA018</t>
  </si>
  <si>
    <t>SA259548AU  VA007</t>
  </si>
  <si>
    <t>JC VA019Y  21.2%+65.4% VA018</t>
  </si>
  <si>
    <t>B1124(C60/ETB40)  va040</t>
  </si>
  <si>
    <t xml:space="preserve">BUM051AER30-AA-U  VA019 </t>
  </si>
  <si>
    <t>5M+3 VA020</t>
  </si>
  <si>
    <t>B1068  va151</t>
  </si>
  <si>
    <t>TT V-11697A</t>
  </si>
  <si>
    <t>TT VA016M</t>
  </si>
  <si>
    <t>ÚC 996-2</t>
  </si>
  <si>
    <t>3M+4 JC UC 996-2+1 JC TT  V-11697A</t>
  </si>
  <si>
    <t>B06A(BOC10)-OE  VA111</t>
  </si>
  <si>
    <t>4M+ 3 TT VA016M + 1VA038</t>
  </si>
  <si>
    <t>3M+3 TTDQ UV- TRỘN LÔ + 2 VA038</t>
  </si>
  <si>
    <t>BPM(20)C04  VB002  4T  18/12   25*31 kt</t>
  </si>
  <si>
    <t>BH13  VB006  1T  17/12  5*6</t>
  </si>
  <si>
    <t>B2531  vb001  1ca 18/12</t>
  </si>
  <si>
    <t>B0210  VB151  2ca    17/12  0*3</t>
  </si>
  <si>
    <t>SO230517D  VB005US  1CA 18/12  kt</t>
  </si>
  <si>
    <t>SO259816BHP100 vb001  1CA  18/12 kt</t>
  </si>
  <si>
    <t>BPM2653  VB002US 1CA 16/12   kt</t>
  </si>
  <si>
    <t>BCVC2781  VB006  2T  17/12   16*17</t>
  </si>
  <si>
    <t>SO251631CXYS-U  VA001US  sợi X-XY   1.5T  18/12   5*8</t>
  </si>
  <si>
    <t>SO41269A(BPM20-U) VA030  3T 16/12- 17/12  13*16</t>
  </si>
  <si>
    <t>B03(D)  VB014  6.5T  18/12-21/12</t>
  </si>
  <si>
    <t>B0284  va057 2ca  20/12</t>
  </si>
  <si>
    <t>BVA004A  VA034  17T  23/12</t>
  </si>
  <si>
    <t>SO259590BC60/RE40  VB004  1CA  21/12</t>
  </si>
  <si>
    <t>BR(M)0214  VB001  1CA 18/12</t>
  </si>
  <si>
    <t xml:space="preserve">BS1NTX71CVC  VB005  SỢI B  1CA 19/12 </t>
  </si>
  <si>
    <t xml:space="preserve">BS1NTX71CVC  VB005  SỢI A  1CA 18/12  </t>
  </si>
  <si>
    <t>BSA3871ABPM20  VB034  1CA  22/12</t>
  </si>
  <si>
    <t>2-10#</t>
  </si>
  <si>
    <t>2-11#</t>
  </si>
  <si>
    <t>2-12#</t>
  </si>
  <si>
    <t>2-13#</t>
  </si>
  <si>
    <t>SA170299A(M97B/AG3G-AA-U)  VA001  2CA  16/12  0*4 kt</t>
  </si>
  <si>
    <t>B1069(OCN60/ETB40-AA)  VA024  4T 20/12   26*31</t>
  </si>
  <si>
    <t>BA37L(U)  VA193  3T 20/12  8*8+3*8</t>
  </si>
  <si>
    <t>BPM(60)12B  VA001  1CA  18/12  1*4</t>
  </si>
  <si>
    <t>B1004P(EA30)  VA022  2ca 18/12  1*4</t>
  </si>
  <si>
    <t>BPM(20)06B  VA007US  2CA  18/12  0*4</t>
  </si>
  <si>
    <t>BM(50)1123  VA001  1.5T  18/12  8*11</t>
  </si>
  <si>
    <t>SA239066CTC-SD  vb015  1T 19/12  3*8 kt</t>
  </si>
  <si>
    <t>BOC(90)C03  VB011  1CA  19/12 kt</t>
  </si>
  <si>
    <t>SO259245A-RM  VB004  2CA 19/12 kt</t>
  </si>
  <si>
    <t>B2214  VB131US  2T  18/12  15*16</t>
  </si>
  <si>
    <t>B2294(GC100)  VB003GEC  1T  18/12  4*8</t>
  </si>
  <si>
    <t>SO00195C  VB013US  2CA  18/12  2*3</t>
  </si>
  <si>
    <t>BC04(RE80/C20)  VB001  1CA 18/12 0*4</t>
  </si>
  <si>
    <t>SO230518C VB003US  1CA 19/12</t>
  </si>
  <si>
    <t>B2798  VB025  2CA  19/12</t>
  </si>
  <si>
    <t>B0210(OCN)  vb036  1T 23/12</t>
  </si>
  <si>
    <t>B1114  va032  2ca   24/12</t>
  </si>
  <si>
    <t>SO232003DBPM-DN  VB002  1.5T 9/1</t>
  </si>
  <si>
    <t>BSO4206A  VB001  1CA 20/12</t>
  </si>
  <si>
    <t>BPM2798  VB003US  1T  9/1</t>
  </si>
  <si>
    <t>BA37L(U)  VA190  17T  19/12 kt</t>
  </si>
  <si>
    <r>
      <t xml:space="preserve">BAB037  VA031 </t>
    </r>
    <r>
      <rPr>
        <sz val="13"/>
        <color rgb="FFFF0000"/>
        <rFont val="Times New Roman"/>
        <family val="1"/>
      </rPr>
      <t xml:space="preserve"> sợi B- SỢI A</t>
    </r>
    <r>
      <rPr>
        <sz val="13"/>
        <color theme="1"/>
        <rFont val="Times New Roman"/>
        <family val="1"/>
      </rPr>
      <t xml:space="preserve">  1.5T 20/12 8*8+5*8</t>
    </r>
  </si>
  <si>
    <t>B1124  va043  2ca  19/12  3*4</t>
  </si>
  <si>
    <t>BVA004A  VA034  17T  20/12  kt</t>
  </si>
  <si>
    <r>
      <t xml:space="preserve">B1069  VA244   </t>
    </r>
    <r>
      <rPr>
        <b/>
        <sz val="13"/>
        <color rgb="FFFF0000"/>
        <rFont val="Times New Roman"/>
        <family val="1"/>
      </rPr>
      <t>CNM5.0</t>
    </r>
    <r>
      <rPr>
        <b/>
        <sz val="13"/>
        <color theme="1"/>
        <rFont val="Times New Roman"/>
        <family val="1"/>
      </rPr>
      <t xml:space="preserve">   2CA 21/12 kt</t>
    </r>
  </si>
  <si>
    <t>B1029P(EA30)  VA027  2CA 19/12  3*4</t>
  </si>
  <si>
    <r>
      <t xml:space="preserve">B05  VB089US  </t>
    </r>
    <r>
      <rPr>
        <b/>
        <sz val="15"/>
        <color rgb="FFFF0000"/>
        <rFont val="Times New Roman"/>
        <family val="1"/>
      </rPr>
      <t>CNM5.0</t>
    </r>
    <r>
      <rPr>
        <b/>
        <sz val="15"/>
        <color theme="1"/>
        <rFont val="Times New Roman"/>
        <family val="1"/>
      </rPr>
      <t xml:space="preserve">  1CA  20/12 kt</t>
    </r>
  </si>
  <si>
    <t>B2793  VB018US  2CA19/12  5*6</t>
  </si>
  <si>
    <t>SO259717BHP100  VB001  1CA 19/12  0*3</t>
  </si>
  <si>
    <t>B2561(OCN)  vb009  1ca  19/12  1*3</t>
  </si>
  <si>
    <t>BTC0201  vb028  3T  19/12   21*23  kt</t>
  </si>
  <si>
    <t>SB258077BBPM  VB002  1T 20/12 7*8</t>
  </si>
  <si>
    <t>B0208(C60/ETB40)  vb036us  2ca 19/12  kt</t>
  </si>
  <si>
    <t>BCVC0208  vb064  1ca 22/12</t>
  </si>
  <si>
    <t>BFC13-09  VB001  1CA  19/12</t>
  </si>
  <si>
    <t>SO259809BHP100  VB001  1CA 19/12</t>
  </si>
  <si>
    <t xml:space="preserve">BPM(60)0294  VB001  1CA 20/12 </t>
  </si>
  <si>
    <t>B1004  va219  1ca  23/12</t>
  </si>
  <si>
    <t>BNC01(ETB100-AA)  VB001  1CA  7/1</t>
  </si>
  <si>
    <t>SO239395A  VB001  1CA  1/1</t>
  </si>
  <si>
    <t>B2866  VB027  1CA  20/12</t>
  </si>
  <si>
    <t>B2299  VB050US  1CA  22/12</t>
  </si>
  <si>
    <r>
      <rPr>
        <b/>
        <sz val="13"/>
        <color rgb="FFFF0000"/>
        <rFont val="Times New Roman"/>
        <family val="1"/>
      </rPr>
      <t>B</t>
    </r>
    <r>
      <rPr>
        <b/>
        <sz val="13"/>
        <color theme="1"/>
        <rFont val="Times New Roman"/>
        <family val="1"/>
      </rPr>
      <t xml:space="preserve">09B  va117  7T  nkho  </t>
    </r>
    <r>
      <rPr>
        <b/>
        <sz val="13"/>
        <color rgb="FFFF0000"/>
        <rFont val="Times New Roman"/>
        <family val="1"/>
      </rPr>
      <t>OK RỒ</t>
    </r>
    <r>
      <rPr>
        <b/>
        <sz val="13"/>
        <color theme="1"/>
        <rFont val="Times New Roman"/>
        <family val="1"/>
      </rPr>
      <t>I chưa sắp chạy</t>
    </r>
  </si>
  <si>
    <t>BPM(50)1019  va003  1ca  20/12</t>
  </si>
  <si>
    <t>BTCC02  VB054  2T  22/12  8*16</t>
  </si>
  <si>
    <t>BC04  vb098  2T  20/12.  14*16</t>
  </si>
  <si>
    <t>B0210(OCR)  vb027  2T  20/12  12*16  kt</t>
  </si>
  <si>
    <t>SO230517D  VB006US  1CA  23/12  kt</t>
  </si>
  <si>
    <t>BM(45)2214  VB001  1T  20/12  6*8</t>
  </si>
  <si>
    <t>B2829(C60/ETB40)  VB002  1CA  20/12  0*3</t>
  </si>
  <si>
    <t>B03(C90/W10C)  vb001  1ca  21/12</t>
  </si>
  <si>
    <t>SO259813BHP100  VB001  1CA 22/12</t>
  </si>
  <si>
    <t>BC04  VB099R  2CA 20/12  1*3</t>
  </si>
  <si>
    <r>
      <rPr>
        <b/>
        <sz val="13"/>
        <color rgb="FFFF0000"/>
        <rFont val="Times New Roman"/>
        <family val="1"/>
      </rPr>
      <t>B</t>
    </r>
    <r>
      <rPr>
        <b/>
        <sz val="13"/>
        <color theme="1"/>
        <rFont val="Times New Roman"/>
        <family val="1"/>
      </rPr>
      <t>1124  VA042  3.5T    23/12   10*23</t>
    </r>
  </si>
  <si>
    <t>SA259956AU  VA002  2CA 21/12  kt</t>
  </si>
  <si>
    <t>B06A(M50/C45/OC5-AA)  VA020 1T  21/12  3*7</t>
  </si>
  <si>
    <t>BCVC11B  VA136  1T    20/12  4*7  kt</t>
  </si>
  <si>
    <t>SA240274AC60/ERT40  VB001  4T  13/1</t>
  </si>
  <si>
    <t>SA170299A(U)  VA055  CNM5.0  1CA 21/12</t>
  </si>
  <si>
    <t>B04B(AA)  va143  1ca  22/12</t>
  </si>
  <si>
    <t>BPM(20)06B  VA008US  1ca  24/12</t>
  </si>
  <si>
    <t>BFC13-03(C60/ETB40)  VB014  1CA  22/12</t>
  </si>
  <si>
    <t>BVA004A  VA034  17T  22/12</t>
  </si>
  <si>
    <t>BOCC04  VB011  2CA 24/12</t>
  </si>
  <si>
    <t>B4UT03(C60/M20/ETB20)  VA001  1CA  12/1</t>
  </si>
  <si>
    <t>BC02(OCR50)  VB006  14T  LUCKY</t>
  </si>
  <si>
    <t>BM(100)0216  VB003  1T  8/1</t>
  </si>
  <si>
    <t>BNC04C(BOC)  VB003  2T  11/1</t>
  </si>
  <si>
    <t>BOC0285  VB009  6T  15/1</t>
  </si>
  <si>
    <t>SP259699BCVC30-NP  VB001  1CA 4/1</t>
  </si>
  <si>
    <t>SP259699BCVC35-NP  VB002  1CA  4/1</t>
  </si>
  <si>
    <r>
      <t xml:space="preserve">SO259955AC60/ETB40-NPU  VA003 </t>
    </r>
    <r>
      <rPr>
        <b/>
        <sz val="13"/>
        <rFont val="Times New Roman"/>
        <family val="1"/>
      </rPr>
      <t xml:space="preserve"> CNM5.0 </t>
    </r>
    <r>
      <rPr>
        <b/>
        <sz val="13"/>
        <color rgb="FFFF0000"/>
        <rFont val="Times New Roman"/>
        <family val="1"/>
      </rPr>
      <t>1CA  23/12</t>
    </r>
  </si>
  <si>
    <t>SGR92083B  VB204US  15T 24/12-11/1</t>
  </si>
  <si>
    <t>BCVCC02  VB001  19T 23/12 kt</t>
  </si>
  <si>
    <t>BC03(GC100)  VB002GEC  1CA  23/12</t>
  </si>
  <si>
    <t>BPMC15  VB005US  1CA 23/12</t>
  </si>
  <si>
    <t>B2NO027  VB004  2CA 22/12 0*3</t>
  </si>
  <si>
    <t>B2795  VB010  1CA  23/12</t>
  </si>
  <si>
    <t>VB053   BNC04C    2T  23/12  12*16</t>
  </si>
  <si>
    <t>BC02(OCR)  VB028  2CA  22/12  0*3</t>
  </si>
  <si>
    <t>B0281  VB106  3T  26/12-24/12  6*23 kt</t>
  </si>
  <si>
    <r>
      <t xml:space="preserve">B1069  VA245   </t>
    </r>
    <r>
      <rPr>
        <b/>
        <sz val="13"/>
        <color rgb="FFFF0000"/>
        <rFont val="Times New Roman"/>
        <family val="1"/>
      </rPr>
      <t xml:space="preserve">CNM5.0 </t>
    </r>
    <r>
      <rPr>
        <b/>
        <sz val="13"/>
        <rFont val="Times New Roman"/>
        <family val="1"/>
      </rPr>
      <t xml:space="preserve">  1CA  25/12 kt</t>
    </r>
  </si>
  <si>
    <t>B1114(C60/ERT40)  va001us 1ca  22/12  kt</t>
  </si>
  <si>
    <t>BA37L(CR20-AA-U)  VA021  2CA  25/12 kt</t>
  </si>
  <si>
    <r>
      <t xml:space="preserve">BAB066  VA021   </t>
    </r>
    <r>
      <rPr>
        <sz val="13"/>
        <color rgb="FFFF0000"/>
        <rFont val="Times New Roman"/>
        <family val="1"/>
      </rPr>
      <t>SỢI B-  SỢI A</t>
    </r>
    <r>
      <rPr>
        <sz val="13"/>
        <color theme="1"/>
        <rFont val="Times New Roman"/>
        <family val="1"/>
      </rPr>
      <t xml:space="preserve">   2CA  22/12 6*6+4*6</t>
    </r>
  </si>
  <si>
    <t>B1123  VA028  18T  25/12</t>
  </si>
  <si>
    <t>B2652  VA077  7T 6/1</t>
  </si>
  <si>
    <t>BM(100)1047  VA005   2CA 8/1  CỰ LY 14</t>
  </si>
  <si>
    <t>SO41269A(BPM20-U)  VA031  2CA  24/12</t>
  </si>
  <si>
    <t>SA259428AAA-U  VA005  1CA 24/12</t>
  </si>
  <si>
    <t>BOC2652  VA008  1CA  29/12</t>
  </si>
  <si>
    <t>BPM11B  VA017  3T  6/1</t>
  </si>
  <si>
    <t>BM(50)07B(AA)  va014  9T  14/1</t>
  </si>
  <si>
    <t>BH13(BM) VB002  2CA  25/12</t>
  </si>
  <si>
    <t>B2798  vb026  1ca  24/12</t>
  </si>
  <si>
    <t>B0221  vb029us  2ca 13/1</t>
  </si>
  <si>
    <t>B2282  VB045  14T 27/12- 10/1</t>
  </si>
  <si>
    <t>SY252262BXYS  vb001 sợi x-xy  1ca  29/12</t>
  </si>
  <si>
    <t>B0284  va060  2T   31/12</t>
  </si>
  <si>
    <t>2-9#</t>
  </si>
  <si>
    <t>SGR92083B  VB204US</t>
  </si>
  <si>
    <t>2M+2 JC VB050+4  VB050</t>
  </si>
  <si>
    <t>BT VB050</t>
  </si>
  <si>
    <t>BT VB051</t>
  </si>
  <si>
    <t>BCVC0208  VB063</t>
  </si>
  <si>
    <t>3jc vb051+3 bros 102-2</t>
  </si>
  <si>
    <t xml:space="preserve">BC03  VB113R </t>
  </si>
  <si>
    <t>3JC VB051+ 1 VB051+2 VB019</t>
  </si>
  <si>
    <t>B06G(FH18)(BOC20-AA) VB027</t>
  </si>
  <si>
    <t>BC03  VB112</t>
  </si>
  <si>
    <t>2 JC VB049+ 4 VB019</t>
  </si>
  <si>
    <t>B0278  VB096</t>
  </si>
  <si>
    <t>6 JC VB051</t>
  </si>
  <si>
    <t>B2793  VB019</t>
  </si>
  <si>
    <t>2M+6 JC VB051</t>
  </si>
  <si>
    <t>SGR92083B  VB203</t>
  </si>
  <si>
    <t>2M+3 VB050M+3 JC VB050M</t>
  </si>
  <si>
    <t>B2282  VB045</t>
  </si>
  <si>
    <t>2M+6 JC  VB051</t>
  </si>
  <si>
    <t>SO259231AC60/RE40 VB009</t>
  </si>
  <si>
    <t>B2294  VB013  2CA  11/1</t>
  </si>
  <si>
    <t>SA258184B  VB001  1CA  24/12  kt</t>
  </si>
  <si>
    <t>SO241795BCVC  VB003    1CA  24/12 kt</t>
  </si>
  <si>
    <t>B01-RM  VB007  2T  23/12  12*16 kt</t>
  </si>
  <si>
    <t>B0202  vb039   1ca  25/12 kt</t>
  </si>
  <si>
    <t>B8224  VA038US  1CA 22/12 kt</t>
  </si>
  <si>
    <t>SA170299A(CVC-U)  VA040  2CA 23/12  3*4</t>
  </si>
  <si>
    <t>BUM051AER30-AA-U  VA019  8T 22/12-27/12</t>
  </si>
  <si>
    <t>SA191068BOCR-U  VA019   1CA  30/12</t>
  </si>
  <si>
    <t>BCVC(20)1069  VA001US  1CA  31/12</t>
  </si>
  <si>
    <t xml:space="preserve">BPM(50)1067  va006  1T   4/1  </t>
  </si>
  <si>
    <t>BPM0210  vb041  2.5T  10/1.13/1</t>
  </si>
  <si>
    <t>BRC04  VB013  1CA  25/12</t>
  </si>
  <si>
    <t>BNC01(BP)  VB003  1CA  26/12</t>
  </si>
  <si>
    <t>SO00195C  VB014  1T 6/1</t>
  </si>
  <si>
    <r>
      <t>SO251031</t>
    </r>
    <r>
      <rPr>
        <sz val="15"/>
        <rFont val="Times New Roman"/>
        <family val="1"/>
      </rPr>
      <t>AERT65/RE35</t>
    </r>
    <r>
      <rPr>
        <sz val="15"/>
        <color rgb="FFFF0000"/>
        <rFont val="Times New Roman"/>
        <family val="1"/>
      </rPr>
      <t xml:space="preserve">  VB005  6T  17/1  </t>
    </r>
    <r>
      <rPr>
        <sz val="15"/>
        <rFont val="Times New Roman"/>
        <family val="1"/>
      </rPr>
      <t>50S</t>
    </r>
  </si>
  <si>
    <t>BCVC102  VA134  1CA  9/1</t>
  </si>
  <si>
    <t>B2789(GC100)  VB002  2CA  17/1</t>
  </si>
  <si>
    <t>B2795  VB011   1CA  8/1</t>
  </si>
  <si>
    <t>B2879  VB011  4T  13/1.18/1</t>
  </si>
  <si>
    <t>B0284  va059US  3T   24/12  11*16 kt</t>
  </si>
  <si>
    <t>BCVC2818  VB002   1CA  24/12  0*3</t>
  </si>
  <si>
    <r>
      <rPr>
        <b/>
        <sz val="15"/>
        <color rgb="FFFF0000"/>
        <rFont val="Times New Roman"/>
        <family val="1"/>
      </rPr>
      <t>B0201</t>
    </r>
    <r>
      <rPr>
        <b/>
        <sz val="15"/>
        <color theme="1"/>
        <rFont val="Times New Roman"/>
        <family val="1"/>
      </rPr>
      <t xml:space="preserve">  vb034  </t>
    </r>
    <r>
      <rPr>
        <b/>
        <sz val="15"/>
        <color rgb="FFFF0000"/>
        <rFont val="Times New Roman"/>
        <family val="1"/>
      </rPr>
      <t>cnm5.0</t>
    </r>
    <r>
      <rPr>
        <b/>
        <sz val="15"/>
        <color theme="1"/>
        <rFont val="Times New Roman"/>
        <family val="1"/>
      </rPr>
      <t xml:space="preserve">  1ca 24/12 kt</t>
    </r>
  </si>
  <si>
    <t>SA209025C  VB031  2T  25/12  13*16</t>
  </si>
  <si>
    <t>BH13  VB007  1.5T  25/12  12*16</t>
  </si>
  <si>
    <t>B0285(C60/ETB40)  VB008  2T 24/12  14*16 kt</t>
  </si>
  <si>
    <t>SO259231AC60/RE40 VB009  14T 18/12-27/12</t>
  </si>
  <si>
    <t>BSB4041AERT50/C25/R25-EY-U  VA015  sợi x-XY  2CA  8/1</t>
  </si>
  <si>
    <t>BA37L(U)  VA194  10T 10/1-21/1</t>
  </si>
  <si>
    <t>BA37L(U)  VA194  16T  2/1-21/1</t>
  </si>
  <si>
    <t>BC03(BP)  VB001  1CA  27/12</t>
  </si>
  <si>
    <t>SO259714BHP100 VB002  2ca  27/12</t>
  </si>
  <si>
    <r>
      <rPr>
        <b/>
        <sz val="15"/>
        <color rgb="FFFF0000"/>
        <rFont val="Times New Roman"/>
        <family val="1"/>
      </rPr>
      <t>B</t>
    </r>
    <r>
      <rPr>
        <b/>
        <sz val="15"/>
        <rFont val="Times New Roman"/>
        <family val="1"/>
      </rPr>
      <t>05  VB088  15T  8/12-25/1</t>
    </r>
  </si>
  <si>
    <t xml:space="preserve">  B2786  VB006  13T  27/12-13/1</t>
  </si>
  <si>
    <t xml:space="preserve">  B2786  VB006  13T  30/12-13/1</t>
  </si>
  <si>
    <t>SO230517D  VB007US  1CA  30/12</t>
  </si>
  <si>
    <t>SA259568BBM100M-U va002   2.5T  24/12  16*17</t>
  </si>
  <si>
    <t xml:space="preserve">SA170299A(TC-U)  VA001  2CA 24/12 </t>
  </si>
  <si>
    <t>BM(100)8847 va008  1ca  27/12</t>
  </si>
  <si>
    <t xml:space="preserve">BPM1069  VA108  1CA  2/1  </t>
  </si>
  <si>
    <r>
      <t xml:space="preserve">BCVC11B  VA137   </t>
    </r>
    <r>
      <rPr>
        <b/>
        <sz val="13"/>
        <color rgb="FFFF0000"/>
        <rFont val="Times New Roman"/>
        <family val="1"/>
      </rPr>
      <t>CNM5.0</t>
    </r>
    <r>
      <rPr>
        <b/>
        <sz val="13"/>
        <color theme="1"/>
        <rFont val="Times New Roman"/>
        <family val="1"/>
      </rPr>
      <t xml:space="preserve">  1CA   25/12</t>
    </r>
  </si>
  <si>
    <t>BM(70M)1068(BPM-AA)  VA019  1CA  29/12</t>
  </si>
  <si>
    <t>BPM2659  VA003  2CA  30/12</t>
  </si>
  <si>
    <t>B07B  VA138us  40T   20/1+ nkho</t>
  </si>
  <si>
    <t>SA200871AU  VA094  17T  16/1</t>
  </si>
  <si>
    <t>B2652  VA078  2T  18/1</t>
  </si>
  <si>
    <t>BCVC12B  VA084  2CA  6/1</t>
  </si>
  <si>
    <t>BM1068(AA)  VA009  6T  19/1</t>
  </si>
  <si>
    <t>BR(M)1067  VA001  2CA  18/1</t>
  </si>
  <si>
    <t>SO251631CXYS-U  VA002US 1T 14/1</t>
  </si>
  <si>
    <t>B0202(AA)  VB040US  2CA 11/1</t>
  </si>
  <si>
    <t>B2228  VB004  2T  16/1</t>
  </si>
  <si>
    <t>B2366  VB097  2.5T  9/1.16/1</t>
  </si>
  <si>
    <t>B2795  VB012US  2CA 14/1</t>
  </si>
  <si>
    <t>B2803(C60/ERT40)  VB001  2T 14/1.16/1</t>
  </si>
  <si>
    <t>BC04  VB101  2CA 21/1</t>
  </si>
  <si>
    <t>BH13(C60/ETB40-AA)  VB003  2CA 14/1</t>
  </si>
  <si>
    <t>BMC03(AA)  VB022  2CA 18/1</t>
  </si>
  <si>
    <t>BPM0281  VB007  2CA 16/1</t>
  </si>
  <si>
    <t>SA181690A  VB021  2CA  16/1</t>
  </si>
  <si>
    <t>SO250811AXY  VB001  1CA  LUCKY</t>
  </si>
  <si>
    <t>B0202  vb039  1ca  27/12  kt</t>
  </si>
  <si>
    <t>SGR92083B(C60/ERT40)  VB015 2.5T   26/12  11*16</t>
  </si>
  <si>
    <t>BC03  VB112  23T 18/12 -25/12 kt</t>
  </si>
  <si>
    <t>B2796  VB026  1T  25/12  3*8 kt</t>
  </si>
  <si>
    <t>SO206427I  VB045  1CA 26/12 kt</t>
  </si>
  <si>
    <t>B0208(C60/ETB40)  VB035  4T  26/12  20*23</t>
  </si>
  <si>
    <t>BCVC(40ETB)104(S)   VA069  9T 25/12 kt</t>
  </si>
  <si>
    <r>
      <rPr>
        <b/>
        <sz val="13"/>
        <color rgb="FFFF0000"/>
        <rFont val="Times New Roman"/>
        <family val="1"/>
      </rPr>
      <t>B</t>
    </r>
    <r>
      <rPr>
        <b/>
        <sz val="13"/>
        <color theme="1"/>
        <rFont val="Times New Roman"/>
        <family val="1"/>
      </rPr>
      <t>09B  va116  4T 27/12   28*31</t>
    </r>
  </si>
  <si>
    <t>B1124(C60/ETB40)  VA040  20T  25/12 kt</t>
  </si>
  <si>
    <t>B1124V(EA30)  va009    2T   25/12  10*16 kt</t>
  </si>
  <si>
    <t>BM0459(BPM)  va001us  2ca 24//12   kt</t>
  </si>
  <si>
    <t>BC03  VB112  23T 18/12 -30/12</t>
  </si>
  <si>
    <t>BNC04C  VB052-A  4T  25/12 KT</t>
  </si>
  <si>
    <t>BTC0201  VB029   1CA  25/12 0*3 KT</t>
  </si>
  <si>
    <t>B0202(ERT65/C31.5/OC3.5-AA)  VB001  2T 22/12+ LUCKY</t>
  </si>
  <si>
    <t>BC03   VB114US     5T  2/1-8/1</t>
  </si>
  <si>
    <t>SGR82938A(BOC10-U)  VA032  9T  28/12</t>
  </si>
  <si>
    <t>SA259548AU  VA007  20T  29/12</t>
  </si>
  <si>
    <t>BCVC07B  VA101  2CA  10/1</t>
  </si>
  <si>
    <t>B02B  VA145US  1CA 7/1</t>
  </si>
  <si>
    <t>B1020  VA066  2T 3/1</t>
  </si>
  <si>
    <t>B12B  va161  1T 6/1</t>
  </si>
  <si>
    <t>SGR92083B(BPM20)-RM  VB016  1T  28/12  1*8</t>
  </si>
  <si>
    <t>B0210  vb153us  2CA  18/1</t>
  </si>
  <si>
    <t>B1NP010  VB002UA  2CA  16/1</t>
  </si>
  <si>
    <t>B1UT04(C57/M40/T3)  VB001  1CA 9/1</t>
  </si>
  <si>
    <t>B2347(C60/ETB40)  VB027  2T  19/1</t>
  </si>
  <si>
    <t>B2793(OCR)  VB003   5T  20/1</t>
  </si>
  <si>
    <t>BC04  VB100  2CA 7/1. 9/1</t>
  </si>
  <si>
    <t>BCVC2798  vb001us  1ca 11/1</t>
  </si>
  <si>
    <t>BCVC2873  vb001  1.5T  19/1</t>
  </si>
  <si>
    <t>BH13   VB008  5T  7/1.19/1</t>
  </si>
  <si>
    <t>BM0212  VB021US  1CA 11/1</t>
  </si>
  <si>
    <t>BMC01  VB008  1CA  8/1</t>
  </si>
  <si>
    <t>SGR01874K(TC)  VB002US 2CA 18/1</t>
  </si>
  <si>
    <t>SO95703B(XY)  VB008  2CA  15/1</t>
  </si>
  <si>
    <t>B09B  VA119  6T 19/1</t>
  </si>
  <si>
    <t>B09B(C60/ETB40)  VA029  4T 14/1.17/1</t>
  </si>
  <si>
    <t>B1020(OCR)  VA002  11T  23/1</t>
  </si>
  <si>
    <t>B1114  VA033  7T  17/1.24/1</t>
  </si>
  <si>
    <t>B2659  VA035  6T  15/1.21/1</t>
  </si>
  <si>
    <t>SA170299A(AG3G-U)  VA004  1CA  9/1</t>
  </si>
  <si>
    <t>SA170299A(C57/M40/AG3G-U)  VA001  1CA 9/1</t>
  </si>
  <si>
    <t>SA258085AC57/M40/AGD3-U  VA001  1CA  19/1</t>
  </si>
  <si>
    <t>SA259681CC57/M40/AGD3-U  VA001  1CA 19/1</t>
  </si>
  <si>
    <t>B1020(C60/ETB40)  VA009  1T 8/1</t>
  </si>
  <si>
    <t>B1124(C60/ETB40)  VA041   8T    6/1</t>
  </si>
  <si>
    <t>16/1.</t>
  </si>
  <si>
    <t xml:space="preserve">5/1 ĐỦ ĐƠN HÀNG XUỐNG 1 MÁY </t>
  </si>
  <si>
    <t>B1067  VA155US  1CA  3/1</t>
  </si>
  <si>
    <t>20/1.</t>
  </si>
  <si>
    <t>14/1.</t>
  </si>
  <si>
    <t>B09B  va118us  2T   12/1.16/1</t>
  </si>
  <si>
    <t>19/1.</t>
  </si>
  <si>
    <t>BPM1069(AA)  VA107  2T  5/1  cự ly 13</t>
  </si>
  <si>
    <t>15/1.</t>
  </si>
  <si>
    <t>12/1.</t>
  </si>
  <si>
    <t>B2621  VB099  3T  13/1.14/1</t>
  </si>
  <si>
    <t>SO230517D  VB008US 1CA 8/1.11/1</t>
  </si>
  <si>
    <t>B2829  VB021  1T 27/12  NGỪNG</t>
  </si>
  <si>
    <t>B0201  vb035  2ca 19/1</t>
  </si>
  <si>
    <t>B0295  vb007us  1ca 15/1</t>
  </si>
  <si>
    <t>B2347  vb108ua  1ca 11/1</t>
  </si>
  <si>
    <t>BC02(OCR)  vb029  2ca  13/1</t>
  </si>
  <si>
    <t>BR2872(AA)  vb001  1ca 12/1</t>
  </si>
  <si>
    <t>SGR92083B(CR30)  vb003us  1ca 16/1</t>
  </si>
  <si>
    <t>SO206427IBPM-DN  VB013  1T 17/1</t>
  </si>
  <si>
    <t>SY258090BHP100  VB001  1CA 11/1</t>
  </si>
  <si>
    <t>SA258264AU  VA001  1CA 8/1</t>
  </si>
  <si>
    <t>B11B(C60/ETB40)  VA014  2T  12/1</t>
  </si>
  <si>
    <t>B2663  VB002US  1CA 3/1  kt</t>
  </si>
  <si>
    <t>SO259763BHP100  VB001  1CA  27/12 kt</t>
  </si>
  <si>
    <t>BPM2347  VB007  2CA  3/1 kt</t>
  </si>
  <si>
    <t>B2793  VB019  9T 3/1-7/1</t>
  </si>
  <si>
    <t>BNC04C  VB054  1T  27/12 kt</t>
  </si>
  <si>
    <r>
      <rPr>
        <b/>
        <sz val="15"/>
        <color rgb="FFFF0000"/>
        <rFont val="Times New Roman"/>
        <family val="1"/>
      </rPr>
      <t xml:space="preserve">B2F030 </t>
    </r>
    <r>
      <rPr>
        <b/>
        <sz val="15"/>
        <color theme="1"/>
        <rFont val="Times New Roman"/>
        <family val="1"/>
      </rPr>
      <t xml:space="preserve"> VB003 </t>
    </r>
    <r>
      <rPr>
        <b/>
        <sz val="15"/>
        <color rgb="FFFF0000"/>
        <rFont val="Times New Roman"/>
        <family val="1"/>
      </rPr>
      <t>CNM5.0</t>
    </r>
    <r>
      <rPr>
        <b/>
        <sz val="15"/>
        <color theme="1"/>
        <rFont val="Times New Roman"/>
        <family val="1"/>
      </rPr>
      <t xml:space="preserve">  1CA  26/12 0*3</t>
    </r>
  </si>
  <si>
    <t>BPM2212  VB009US  1CA  27/12 kt</t>
  </si>
  <si>
    <r>
      <t xml:space="preserve">B1119  VA012  2.5T  </t>
    </r>
    <r>
      <rPr>
        <b/>
        <sz val="13"/>
        <color rgb="FFFF0000"/>
        <rFont val="Times New Roman"/>
        <family val="1"/>
      </rPr>
      <t xml:space="preserve"> CNM5.0</t>
    </r>
    <r>
      <rPr>
        <b/>
        <sz val="13"/>
        <color theme="1"/>
        <rFont val="Times New Roman"/>
        <family val="1"/>
      </rPr>
      <t xml:space="preserve">  27/12  14*16</t>
    </r>
  </si>
  <si>
    <t>SA248530ABM100-U  va006  2ca  26/12  3*7</t>
  </si>
  <si>
    <t xml:space="preserve">  B2786  VB006</t>
  </si>
  <si>
    <t>2M+3 jc vb051+3 VB051</t>
  </si>
  <si>
    <t xml:space="preserve">B0285  VB038 </t>
  </si>
  <si>
    <t xml:space="preserve">SO95703B(XY)  VB007US   XY </t>
  </si>
  <si>
    <t>2m+4 jc vb051+2 vb051</t>
  </si>
  <si>
    <t xml:space="preserve">SO259590BC60/RE40  VB004 </t>
  </si>
  <si>
    <t>2m+3jc vb051+3 rayon</t>
  </si>
  <si>
    <t>BM(B)0208  VB004US</t>
  </si>
  <si>
    <t>2m+3 JC VB050+ 3 MOAL</t>
  </si>
  <si>
    <r>
      <rPr>
        <b/>
        <sz val="13"/>
        <color rgb="FFFF0000"/>
        <rFont val="Times New Roman"/>
        <family val="1"/>
      </rPr>
      <t>B</t>
    </r>
    <r>
      <rPr>
        <b/>
        <sz val="13"/>
        <rFont val="Times New Roman"/>
        <family val="1"/>
      </rPr>
      <t>11B  VA101  31T 4/12-30/12</t>
    </r>
  </si>
  <si>
    <r>
      <rPr>
        <b/>
        <sz val="13"/>
        <color rgb="FFFF0000"/>
        <rFont val="Times New Roman"/>
        <family val="1"/>
      </rPr>
      <t>B</t>
    </r>
    <r>
      <rPr>
        <b/>
        <sz val="13"/>
        <color theme="1"/>
        <rFont val="Times New Roman"/>
        <family val="1"/>
      </rPr>
      <t>0284  VA058  6T  31/12</t>
    </r>
  </si>
  <si>
    <r>
      <rPr>
        <b/>
        <sz val="13"/>
        <color rgb="FFFF0000"/>
        <rFont val="Times New Roman"/>
        <family val="1"/>
      </rPr>
      <t>B1</t>
    </r>
    <r>
      <rPr>
        <b/>
        <sz val="13"/>
        <color theme="1"/>
        <rFont val="Times New Roman"/>
        <family val="1"/>
      </rPr>
      <t>124  va044  14T  22/12-9/1</t>
    </r>
  </si>
  <si>
    <t xml:space="preserve"> đại tu  3/1</t>
  </si>
  <si>
    <t>B04B(AA)  VA144  20T  11/1--2/2</t>
  </si>
  <si>
    <t>B04B(AA)  VA144  24T  6/1--2/2</t>
  </si>
  <si>
    <t>B06G(FH18)(BOC20-AA)  VB027  15T  21/12-28/12</t>
  </si>
  <si>
    <t>B04B(AA)  VA145  28T  11/1--13/2</t>
  </si>
  <si>
    <t>B04B(AA)  VA145  37T  3/1--13/2</t>
  </si>
  <si>
    <t>B2366  VB096UA 2CA  31/12</t>
  </si>
  <si>
    <t>BPM(20)0278  VB001  2T  5/1</t>
  </si>
  <si>
    <r>
      <rPr>
        <b/>
        <sz val="15"/>
        <color rgb="FFFF0000"/>
        <rFont val="Times New Roman"/>
        <family val="1"/>
      </rPr>
      <t>B</t>
    </r>
    <r>
      <rPr>
        <b/>
        <sz val="15"/>
        <rFont val="Times New Roman"/>
        <family val="1"/>
      </rPr>
      <t>05  VB088  15T  8/12-10/1</t>
    </r>
  </si>
  <si>
    <t>SO230518C  VB004US  1CA  2/1</t>
  </si>
  <si>
    <t>B2874  vb012  1T   6/1</t>
  </si>
  <si>
    <t>B2798  VB027UA  2CA  14/1</t>
  </si>
  <si>
    <t>BC03(OCN)  VB014    2CA  6/1</t>
  </si>
  <si>
    <t>SA259469A  VB010  1.5T  12/1</t>
  </si>
  <si>
    <t>thiết bị  đại tu  10T   27/12</t>
  </si>
  <si>
    <t>BSC03  VB115  8T  22/1  11/1-19/1</t>
  </si>
  <si>
    <t>B09B(OCN)  VA009  2.5T  6/1</t>
  </si>
  <si>
    <t>BUM047AER30-AA-U  VA010  2CA  10/1</t>
  </si>
  <si>
    <t>BVA004A  VA035  2T   31/12</t>
  </si>
  <si>
    <t>BCVC04B  VA098   2T   31/12</t>
  </si>
  <si>
    <t>B4UT03(C58/M40/T2)  va001  1ca 9/1</t>
  </si>
  <si>
    <t>SA258260AU  VA001  9T 27/1</t>
  </si>
  <si>
    <t>B0210  VB152UA  14T  31/12-17/1</t>
  </si>
  <si>
    <t>B0210  VB152UA  7T 7/1-17/1</t>
  </si>
  <si>
    <t>B0278(C60/ERT40)  vb018  2ca  10/1</t>
  </si>
  <si>
    <t>B0295  vb007us 1ca  16/1</t>
  </si>
  <si>
    <t>B2228  VB004  2CA  19/1</t>
  </si>
  <si>
    <t>B2367  VB046  1T  18/1</t>
  </si>
  <si>
    <t>B2803(C60/ERT40)  VB001  4T  23/1</t>
  </si>
  <si>
    <t>BC/A(30)0202  VB002  1CA  11/1</t>
  </si>
  <si>
    <t>BCVC2366  VB023  2CA 14/1</t>
  </si>
  <si>
    <t>BPM(30)0208  VB001  1CA  13/1</t>
  </si>
  <si>
    <t>BPM2366  VB015  2CA 20/1  50S</t>
  </si>
  <si>
    <t>BPM2657  VB006  1CA 12/1</t>
  </si>
  <si>
    <t>BPM03  VB014US  1T 16/1</t>
  </si>
  <si>
    <t>SO259245A-RM  VB005  1CA  18/1</t>
  </si>
  <si>
    <t>ĐỎ</t>
  </si>
  <si>
    <r>
      <t xml:space="preserve">B2F030  VB004 </t>
    </r>
    <r>
      <rPr>
        <b/>
        <sz val="15"/>
        <color rgb="FFFF0000"/>
        <rFont val="Times New Roman"/>
        <family val="1"/>
      </rPr>
      <t xml:space="preserve">CNM5.0 </t>
    </r>
    <r>
      <rPr>
        <b/>
        <sz val="15"/>
        <color theme="1"/>
        <rFont val="Times New Roman"/>
        <family val="1"/>
      </rPr>
      <t xml:space="preserve"> 1CA 1/1</t>
    </r>
  </si>
  <si>
    <t>B0279  VB052  2T  9/1</t>
  </si>
  <si>
    <t>SO241795BBPM  VB003   2CA  29/12</t>
  </si>
  <si>
    <t>B2282  VB046  9T  27/1</t>
  </si>
  <si>
    <t>BNC01  VB049  3T  DỰ BỊ 25/1</t>
  </si>
  <si>
    <t>BC03  VB115UB  1CA LUCKY</t>
  </si>
  <si>
    <t>BCVC0208  VB063  11T 26/12--31/12</t>
  </si>
  <si>
    <r>
      <t xml:space="preserve">B0209  VB051  1.5T  15/1 </t>
    </r>
    <r>
      <rPr>
        <b/>
        <sz val="15"/>
        <color rgb="FFFF0000"/>
        <rFont val="Times New Roman"/>
        <family val="1"/>
      </rPr>
      <t>OK RỒI ĐANG NGỪNG</t>
    </r>
  </si>
  <si>
    <t>22/1.</t>
  </si>
  <si>
    <t>B2793  VB020US  2CA 14/1</t>
  </si>
  <si>
    <t>SO206427I  VB046US  4.5T  18/1.21/1</t>
  </si>
  <si>
    <t>B2347  VB107  2CA  7/1.13/1 màu xám trắng</t>
  </si>
  <si>
    <t>SO202477E  VB028US 1CA 15/1 màu xám vừa</t>
  </si>
  <si>
    <r>
      <t>B0278  VB097  5T   8/1-</t>
    </r>
    <r>
      <rPr>
        <b/>
        <sz val="15"/>
        <color rgb="FFFF0000"/>
        <rFont val="Times New Roman"/>
        <family val="1"/>
      </rPr>
      <t>15/1</t>
    </r>
  </si>
  <si>
    <t xml:space="preserve">B05  VB088 WANG ZONG kêu có thể giảm máy </t>
  </si>
  <si>
    <t>B0212(OCN)  VB001  1T  20/1</t>
  </si>
  <si>
    <t>B0208(C60/ETB40)  VB037US 13T  22/1.24/1</t>
  </si>
  <si>
    <t>B2866  VB028  1CA 8/1</t>
  </si>
  <si>
    <t>B2F025(AA)  VB005  2CA  LUCKY</t>
  </si>
  <si>
    <t>SGR41667A(CVC20-XY)  VB050  7T  21/1</t>
  </si>
  <si>
    <t>SGR92083B  VB205  1CA  LUCKY</t>
  </si>
  <si>
    <t>SO259233A  VB006  1CA  18/1</t>
  </si>
  <si>
    <t>SO258188BBPM  VB001  2CA 28/12 kt</t>
  </si>
  <si>
    <t>B2879(OCN60/TE40LF) VB001   2CA 28/12</t>
  </si>
  <si>
    <t>B0208  VB089UA  1T  29/12 3*8</t>
  </si>
  <si>
    <t>B0285  VB038  1T 29/12 3*8</t>
  </si>
  <si>
    <t>SO95703B(XY)  VB007US  SỢI X- XY  1T  27/12 1*1+7*8</t>
  </si>
  <si>
    <t>SO259231AC60/RE40 VB009  14T 18/12-28/12  kt</t>
  </si>
  <si>
    <t>SO259590BC60/RE40  VB004  5T  29/12-5/1  3*31</t>
  </si>
  <si>
    <t>BM(B)0208  VB004US  3.5T  30/12  12*23</t>
  </si>
  <si>
    <r>
      <rPr>
        <b/>
        <sz val="15"/>
        <color rgb="FFFF0000"/>
        <rFont val="Times New Roman"/>
        <family val="1"/>
      </rPr>
      <t>B</t>
    </r>
    <r>
      <rPr>
        <b/>
        <sz val="15"/>
        <rFont val="Times New Roman"/>
        <family val="1"/>
      </rPr>
      <t>05  VB088  15T  8/12-27/12</t>
    </r>
  </si>
  <si>
    <t>BCVC(40ETB)104(S)  VA070  3T   30/12  11*23</t>
  </si>
  <si>
    <t>B1123(ERT80/RE20)  VA001  1T 28/12  6*10</t>
  </si>
  <si>
    <t>B1123  VA028  18T  27/12 kt</t>
  </si>
  <si>
    <t>B02B(C60/ETB40)  VA001  3T  27/12  19*23   kt</t>
  </si>
  <si>
    <t>BAB037  VA032  sợi B-A   3T  31/12  11*16+0*16</t>
  </si>
  <si>
    <r>
      <t xml:space="preserve">B11B(OCR-S)  va001 </t>
    </r>
    <r>
      <rPr>
        <b/>
        <sz val="13"/>
        <color rgb="FFFF0000"/>
        <rFont val="Times New Roman"/>
        <family val="1"/>
      </rPr>
      <t>CNM5.0</t>
    </r>
    <r>
      <rPr>
        <b/>
        <sz val="13"/>
        <color theme="1"/>
        <rFont val="Times New Roman"/>
        <family val="1"/>
      </rPr>
      <t xml:space="preserve">   1ca  27/12  0*4</t>
    </r>
  </si>
  <si>
    <r>
      <t xml:space="preserve">B11B  va102  </t>
    </r>
    <r>
      <rPr>
        <b/>
        <sz val="13"/>
        <color rgb="FFFF0000"/>
        <rFont val="Times New Roman"/>
        <family val="1"/>
      </rPr>
      <t>CNM5.0</t>
    </r>
    <r>
      <rPr>
        <b/>
        <sz val="13"/>
        <color theme="1"/>
        <rFont val="Times New Roman"/>
        <family val="1"/>
      </rPr>
      <t xml:space="preserve">  1ca  28/12</t>
    </r>
  </si>
  <si>
    <t>BOC1019  VA008  2CA 29/12</t>
  </si>
  <si>
    <t>B8224  VA039 US  1CA  30/12</t>
  </si>
  <si>
    <t>BPM(20)06B  va009  2ca  2/1</t>
  </si>
  <si>
    <t>BPM(20)07B  VA002   1T  5/1</t>
  </si>
  <si>
    <t>BCVCAB066  VA005  SỢI B-A  2CA  28/12  3*4+4</t>
  </si>
  <si>
    <r>
      <rPr>
        <b/>
        <sz val="15"/>
        <color rgb="FFFF0000"/>
        <rFont val="Times New Roman"/>
        <family val="1"/>
      </rPr>
      <t>B</t>
    </r>
    <r>
      <rPr>
        <b/>
        <sz val="15"/>
        <color theme="1"/>
        <rFont val="Times New Roman"/>
        <family val="1"/>
      </rPr>
      <t>C03  VB113R  8T  2/1</t>
    </r>
  </si>
  <si>
    <t>B0278  VB096  7T  27/12-2/1</t>
  </si>
  <si>
    <t>B0423  va035  1T  12/1</t>
  </si>
  <si>
    <t>BUM009AERC30-AA  VA021  1T  5/1</t>
  </si>
  <si>
    <t>BR09B(AA)  VA003  1CA 3/1</t>
  </si>
  <si>
    <t>BM1124  VA009  1CA  4/1</t>
  </si>
  <si>
    <t>BCVC1069  VA043  1CA  5/1</t>
  </si>
  <si>
    <t xml:space="preserve">B1123(RE100)   VA001   2T  2/1  </t>
  </si>
  <si>
    <t>BA37L(M60/BPM40-AA-U)  VA004  1.5T  6/1</t>
  </si>
  <si>
    <t>BA37L(CR50-AA-U)  VA008  2CA  7/1</t>
  </si>
  <si>
    <t>BA37L(C60/ERT40-AA-U)  VA020  2T   13/1</t>
  </si>
  <si>
    <t>SA259956AU  VA003  2CA  15/1</t>
  </si>
  <si>
    <t>BCVC(40ETB)104(S)  VA071  3T 23/1</t>
  </si>
  <si>
    <t>B02B  VA146  10T 23/1</t>
  </si>
  <si>
    <t>SO206427IBPM-DN  VB012  1T  29/12  0*8</t>
  </si>
  <si>
    <t>B2651(C60/ERT40)  VB002  20T  2/1-23/1</t>
  </si>
  <si>
    <t>B2347(M90/W10C)  VB001  1CA  28/12</t>
  </si>
  <si>
    <t>BCVC2401  VB004   1CA  29/12</t>
  </si>
  <si>
    <t>BM(B)0209  VB001  1CA 30/12</t>
  </si>
  <si>
    <r>
      <t xml:space="preserve">B2F009   VB005 </t>
    </r>
    <r>
      <rPr>
        <b/>
        <sz val="15"/>
        <rFont val="Times New Roman"/>
        <family val="1"/>
      </rPr>
      <t xml:space="preserve"> cnm5.0</t>
    </r>
    <r>
      <rPr>
        <b/>
        <sz val="15"/>
        <color rgb="FFFF0000"/>
        <rFont val="Times New Roman"/>
        <family val="1"/>
      </rPr>
      <t xml:space="preserve">  1CA 29/12</t>
    </r>
  </si>
  <si>
    <r>
      <t>SO259714</t>
    </r>
    <r>
      <rPr>
        <sz val="15"/>
        <color rgb="FFFF0000"/>
        <rFont val="Times New Roman"/>
        <family val="1"/>
      </rPr>
      <t>A</t>
    </r>
    <r>
      <rPr>
        <sz val="15"/>
        <color theme="1"/>
        <rFont val="Times New Roman"/>
        <family val="1"/>
      </rPr>
      <t>HP100 VB002  2T 5/1</t>
    </r>
  </si>
  <si>
    <t>BC02  VB153US  1T  31/12</t>
  </si>
  <si>
    <t>BCVC0208  VB065   1T   4/1</t>
  </si>
  <si>
    <t>SO259720AHP100  VB002  2T  31/12  1*16</t>
  </si>
  <si>
    <t>BC02(OCR)  vb029  2ca  10/1</t>
  </si>
  <si>
    <t>B04B  VA139  13T 28/12</t>
  </si>
  <si>
    <r>
      <rPr>
        <sz val="13"/>
        <color rgb="FFFF0000"/>
        <rFont val="Times New Roman"/>
        <family val="1"/>
      </rPr>
      <t xml:space="preserve">VA140US </t>
    </r>
    <r>
      <rPr>
        <sz val="13"/>
        <rFont val="Times New Roman"/>
        <family val="1"/>
      </rPr>
      <t xml:space="preserve">   B04B  30T   22/1</t>
    </r>
  </si>
  <si>
    <t>ba37l.. Trễ 4  ngày do B06A.. Tăng</t>
  </si>
  <si>
    <t>B06A(BOC10)  VA112  14T 24/12-12/1</t>
  </si>
  <si>
    <t>B1004(GC100)  VA004GEC  2T 26/1</t>
  </si>
  <si>
    <t>B1034(GC100) VA005GEC  2T  26/1</t>
  </si>
  <si>
    <t xml:space="preserve"> B1067(AA)  VA156  1CA  11/1</t>
  </si>
  <si>
    <t>B1067(C60/ETB40-AA)  VA001  1CA 11/1</t>
  </si>
  <si>
    <t>BM1068(AA)  VA009  6T 27/1</t>
  </si>
  <si>
    <t>BUM051AER30-AA-U  VA021  1.5T  LUCKY</t>
  </si>
  <si>
    <t>SA200871ACVC-U VA047  1CA 9/1</t>
  </si>
  <si>
    <t>SB239264AGC100-U VA002GEC  2T 24/1</t>
  </si>
  <si>
    <t>B0293  vb021us  1ca  13/1</t>
  </si>
  <si>
    <t>B2449  VA014UA  2CA  17/1</t>
  </si>
  <si>
    <r>
      <rPr>
        <b/>
        <sz val="15"/>
        <color rgb="FFFF0000"/>
        <rFont val="Times New Roman"/>
        <family val="1"/>
      </rPr>
      <t>B</t>
    </r>
    <r>
      <rPr>
        <b/>
        <sz val="15"/>
        <rFont val="Times New Roman"/>
        <family val="1"/>
      </rPr>
      <t>05  vb090  122T  9/2.29/3</t>
    </r>
    <r>
      <rPr>
        <b/>
        <sz val="15"/>
        <color rgb="FFFF0000"/>
        <rFont val="Times New Roman"/>
        <family val="1"/>
      </rPr>
      <t xml:space="preserve"> ok rồi</t>
    </r>
  </si>
  <si>
    <t>B01-RM  vb008  3T 11/1.17/1</t>
  </si>
  <si>
    <t>B0209(GC100)  VB002GEC  1.5T  24/1</t>
  </si>
  <si>
    <t>B0285(C60/ETB40)  VB009  6T 23/1</t>
  </si>
  <si>
    <t>B2324(GC100)  VB004GEC  2T  26/1</t>
  </si>
  <si>
    <t>B2367(GC100)  VB004GEC  2T  25/1</t>
  </si>
  <si>
    <t>B2798  VB028US  1CA  11/1</t>
  </si>
  <si>
    <t>B2829  VB022US 1CA  11/1</t>
  </si>
  <si>
    <t>BC03  VB116  3T  LUCKY</t>
  </si>
  <si>
    <t>BC04(D)  VB011  3T  LUCKY</t>
  </si>
  <si>
    <t>BM0212  VB021US  1CA  11/1</t>
  </si>
  <si>
    <t>BNC04C  VB055  5T   9/11.11/1.22/1</t>
  </si>
  <si>
    <t>BOC(90)C02  VB043  1CA  LUCKY</t>
  </si>
  <si>
    <t>BOC2623  VB002  2CA   21/1</t>
  </si>
  <si>
    <t>SO250811AXY  VB001  1T  LUCKY</t>
  </si>
  <si>
    <t>SO258188BBPM  VB002  2CA  22/1  50S</t>
  </si>
  <si>
    <t>BPM0202  VB005  1CA  5/1</t>
  </si>
  <si>
    <t>BC02  VB152  2CA  29/12</t>
  </si>
  <si>
    <t>B2299(OCR)  VB001  1CA 30/12</t>
  </si>
  <si>
    <t>B2299  VB051UA  2CA  31/12</t>
  </si>
  <si>
    <t>B0212  VB069  6T  2/1--11/1</t>
  </si>
  <si>
    <t>B2796  VB027 1CA   7/1</t>
  </si>
  <si>
    <t>B1069  va246US  3T    30/12  4*23</t>
  </si>
  <si>
    <t>BS07B  va139  1CA  30/12</t>
  </si>
  <si>
    <t>SA170299A(BM100-AA-U)  VA015  2T  13/1</t>
  </si>
  <si>
    <t>SA248530ABM100-U  VA007  2CA  10/1</t>
  </si>
  <si>
    <t>B09B  VA119  6T   10/1-16/1</t>
  </si>
  <si>
    <t>SO259561AOCN  vb006  1T  20/1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</si>
</sst>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;@"/>
    <numFmt numFmtId="165" formatCode="0.0"/>
  </numFmts>
  <fonts count="6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3"/>
      <color theme="1"/>
      <name val="宋体"/>
      <family val="2"/>
      <charset val="134"/>
    </font>
    <font>
      <sz val="13"/>
      <color theme="1"/>
      <name val="Times New Roman"/>
      <family val="1"/>
    </font>
    <font>
      <sz val="20"/>
      <color theme="1"/>
      <name val="Times New Roman"/>
      <family val="1"/>
    </font>
    <font>
      <b/>
      <sz val="13"/>
      <color theme="1"/>
      <name val="Times New Roman"/>
      <family val="1"/>
    </font>
    <font>
      <b/>
      <sz val="11"/>
      <color theme="1"/>
      <name val="宋体"/>
      <family val="3"/>
      <charset val="134"/>
    </font>
    <font>
      <b/>
      <sz val="26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sz val="18"/>
      <color theme="1"/>
      <name val="Times New Roman"/>
      <family val="1"/>
    </font>
    <font>
      <sz val="16"/>
      <color theme="1"/>
      <name val="Times New Roman"/>
      <family val="1"/>
    </font>
    <font>
      <sz val="14"/>
      <color rgb="FFFF0000"/>
      <name val="Times New Roman"/>
      <family val="1"/>
    </font>
    <font>
      <sz val="16"/>
      <color rgb="FFFF0000"/>
      <name val="Calibri"/>
      <family val="2"/>
      <charset val="134"/>
      <scheme val="minor"/>
    </font>
    <font>
      <sz val="16"/>
      <color rgb="FFFF0000"/>
      <name val="Calibri"/>
      <family val="3"/>
      <charset val="134"/>
      <scheme val="minor"/>
    </font>
    <font>
      <b/>
      <sz val="13"/>
      <color rgb="FFFF0000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sz val="15"/>
      <color theme="1"/>
      <name val="Calibri"/>
      <family val="2"/>
      <charset val="134"/>
      <scheme val="minor"/>
    </font>
    <font>
      <sz val="18"/>
      <color theme="1"/>
      <name val="Calibri"/>
      <family val="2"/>
      <charset val="134"/>
      <scheme val="minor"/>
    </font>
    <font>
      <sz val="20"/>
      <color theme="1"/>
      <name val="Calibri"/>
      <family val="2"/>
      <charset val="134"/>
      <scheme val="minor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3"/>
      <color theme="1" tint="0.14999847407452621"/>
      <name val="Times New Roman"/>
      <family val="1"/>
    </font>
    <font>
      <b/>
      <sz val="13"/>
      <color theme="3" tint="0.39997558519241921"/>
      <name val="Times New Roman"/>
      <family val="1"/>
    </font>
    <font>
      <sz val="16"/>
      <color rgb="FFFF0000"/>
      <name val="Times New Roman"/>
      <family val="1"/>
    </font>
    <font>
      <b/>
      <sz val="15"/>
      <color rgb="FFFF0000"/>
      <name val="Times New Roman"/>
      <family val="1"/>
    </font>
    <font>
      <sz val="15"/>
      <color rgb="FFFF0000"/>
      <name val="Times New Roman"/>
      <family val="1"/>
    </font>
    <font>
      <sz val="15"/>
      <name val="Times New Roman"/>
      <family val="1"/>
    </font>
    <font>
      <sz val="15"/>
      <color rgb="FF00B050"/>
      <name val="Times New Roman"/>
      <family val="1"/>
    </font>
    <font>
      <sz val="15"/>
      <color theme="1" tint="4.9989318521683403E-2"/>
      <name val="Times New Roman"/>
      <family val="1"/>
    </font>
    <font>
      <sz val="15"/>
      <color rgb="FF0070C0"/>
      <name val="Times New Roman"/>
      <family val="1"/>
    </font>
    <font>
      <b/>
      <sz val="15"/>
      <name val="Times New Roman"/>
      <family val="1"/>
    </font>
    <font>
      <b/>
      <sz val="15"/>
      <color theme="1" tint="0.249977111117893"/>
      <name val="Times New Roman"/>
      <family val="1"/>
    </font>
    <font>
      <sz val="15"/>
      <color theme="1" tint="0.249977111117893"/>
      <name val="Times New Roman"/>
      <family val="1"/>
    </font>
    <font>
      <b/>
      <sz val="22"/>
      <color rgb="FFFF0000"/>
      <name val="Times New Roman"/>
      <family val="1"/>
    </font>
    <font>
      <sz val="22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5"/>
      <color theme="3" tint="0.3999755851924192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20"/>
      <color rgb="FFFF0000"/>
      <name val="Times New Roman"/>
      <family val="1"/>
    </font>
    <font>
      <b/>
      <sz val="13"/>
      <name val="Times New Roman"/>
      <family val="1"/>
    </font>
    <font>
      <b/>
      <sz val="14"/>
      <name val="Times New Roman"/>
      <family val="1"/>
    </font>
    <font>
      <b/>
      <sz val="16"/>
      <color rgb="FFFF0000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24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8"/>
      <name val="Times New Roman"/>
      <family val="1"/>
    </font>
    <font>
      <sz val="18"/>
      <color rgb="FFFF0000"/>
      <name val="Times New Roman"/>
      <family val="1"/>
    </font>
    <font>
      <sz val="12"/>
      <color rgb="FFFF0000"/>
      <name val="Times New Roman"/>
      <family val="1"/>
    </font>
    <font>
      <sz val="14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4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14" fontId="7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1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0" fillId="0" borderId="1" xfId="0" applyFont="1" applyBorder="1">
      <alignment vertical="center"/>
    </xf>
    <xf numFmtId="0" fontId="21" fillId="0" borderId="1" xfId="0" applyFont="1" applyBorder="1">
      <alignment vertical="center"/>
    </xf>
    <xf numFmtId="0" fontId="9" fillId="0" borderId="0" xfId="0" applyFont="1">
      <alignment vertical="center"/>
    </xf>
    <xf numFmtId="0" fontId="22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14" fontId="23" fillId="3" borderId="1" xfId="0" applyNumberFormat="1" applyFont="1" applyFill="1" applyBorder="1" applyAlignment="1">
      <alignment horizontal="center" vertical="center"/>
    </xf>
    <xf numFmtId="14" fontId="24" fillId="3" borderId="1" xfId="0" applyNumberFormat="1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0" xfId="0" applyFont="1" applyFill="1">
      <alignment vertical="center"/>
    </xf>
    <xf numFmtId="0" fontId="11" fillId="3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0" xfId="0" applyFont="1" applyFill="1">
      <alignment vertical="center"/>
    </xf>
    <xf numFmtId="0" fontId="9" fillId="4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14" fontId="16" fillId="8" borderId="1" xfId="0" applyNumberFormat="1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6" fillId="4" borderId="1" xfId="0" applyFont="1" applyFill="1" applyBorder="1">
      <alignment vertical="center"/>
    </xf>
    <xf numFmtId="0" fontId="25" fillId="0" borderId="1" xfId="0" applyFont="1" applyBorder="1">
      <alignment vertical="center"/>
    </xf>
    <xf numFmtId="0" fontId="25" fillId="0" borderId="1" xfId="0" applyFont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0" fillId="10" borderId="0" xfId="0" applyFill="1">
      <alignment vertical="center"/>
    </xf>
    <xf numFmtId="0" fontId="0" fillId="10" borderId="0" xfId="0" applyFill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>
      <alignment vertical="center"/>
    </xf>
    <xf numFmtId="0" fontId="25" fillId="10" borderId="1" xfId="0" applyFont="1" applyFill="1" applyBorder="1" applyAlignment="1">
      <alignment horizontal="center" vertical="center"/>
    </xf>
    <xf numFmtId="2" fontId="0" fillId="10" borderId="1" xfId="0" applyNumberFormat="1" applyFill="1" applyBorder="1">
      <alignment vertical="center"/>
    </xf>
    <xf numFmtId="0" fontId="25" fillId="0" borderId="0" xfId="0" applyFont="1">
      <alignment vertical="center"/>
    </xf>
    <xf numFmtId="2" fontId="0" fillId="0" borderId="0" xfId="0" applyNumberFormat="1">
      <alignment vertical="center"/>
    </xf>
    <xf numFmtId="0" fontId="2" fillId="0" borderId="0" xfId="0" applyFont="1" applyAlignment="1">
      <alignment horizontal="center"/>
    </xf>
    <xf numFmtId="0" fontId="16" fillId="8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29" fillId="0" borderId="1" xfId="0" applyFont="1" applyBorder="1">
      <alignment vertical="center"/>
    </xf>
    <xf numFmtId="0" fontId="29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/>
    </xf>
    <xf numFmtId="0" fontId="22" fillId="4" borderId="1" xfId="0" applyFont="1" applyFill="1" applyBorder="1" applyAlignment="1">
      <alignment horizontal="center" vertical="center"/>
    </xf>
    <xf numFmtId="14" fontId="16" fillId="5" borderId="1" xfId="0" applyNumberFormat="1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29" fillId="0" borderId="0" xfId="0" applyFont="1">
      <alignment vertical="center"/>
    </xf>
    <xf numFmtId="0" fontId="33" fillId="0" borderId="1" xfId="0" applyFont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14" fontId="29" fillId="4" borderId="1" xfId="0" applyNumberFormat="1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9" fillId="5" borderId="0" xfId="0" applyFont="1" applyFill="1">
      <alignment vertical="center"/>
    </xf>
    <xf numFmtId="14" fontId="29" fillId="0" borderId="1" xfId="0" applyNumberFormat="1" applyFont="1" applyBorder="1" applyAlignment="1">
      <alignment horizontal="center" vertical="center"/>
    </xf>
    <xf numFmtId="14" fontId="29" fillId="5" borderId="1" xfId="0" applyNumberFormat="1" applyFont="1" applyFill="1" applyBorder="1" applyAlignment="1">
      <alignment horizontal="center" vertical="center"/>
    </xf>
    <xf numFmtId="14" fontId="35" fillId="4" borderId="1" xfId="0" applyNumberFormat="1" applyFont="1" applyFill="1" applyBorder="1" applyAlignment="1">
      <alignment horizontal="center" vertical="center"/>
    </xf>
    <xf numFmtId="14" fontId="29" fillId="3" borderId="1" xfId="0" applyNumberFormat="1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29" fillId="0" borderId="4" xfId="0" applyFont="1" applyBorder="1">
      <alignment vertical="center"/>
    </xf>
    <xf numFmtId="0" fontId="29" fillId="6" borderId="1" xfId="0" applyFont="1" applyFill="1" applyBorder="1" applyAlignment="1">
      <alignment horizontal="center" vertical="center"/>
    </xf>
    <xf numFmtId="14" fontId="29" fillId="6" borderId="1" xfId="0" applyNumberFormat="1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right" vertical="center"/>
    </xf>
    <xf numFmtId="0" fontId="29" fillId="6" borderId="1" xfId="0" applyFont="1" applyFill="1" applyBorder="1" applyAlignment="1">
      <alignment horizontal="left" vertical="center"/>
    </xf>
    <xf numFmtId="0" fontId="29" fillId="6" borderId="0" xfId="0" applyFont="1" applyFill="1">
      <alignment vertical="center"/>
    </xf>
    <xf numFmtId="0" fontId="29" fillId="0" borderId="1" xfId="0" applyFont="1" applyBorder="1" applyAlignment="1">
      <alignment horizontal="right" vertical="center"/>
    </xf>
    <xf numFmtId="0" fontId="29" fillId="0" borderId="1" xfId="0" applyFont="1" applyBorder="1" applyAlignment="1">
      <alignment horizontal="left" vertical="center"/>
    </xf>
    <xf numFmtId="14" fontId="34" fillId="4" borderId="1" xfId="0" applyNumberFormat="1" applyFont="1" applyFill="1" applyBorder="1" applyAlignment="1">
      <alignment horizontal="center" vertical="center"/>
    </xf>
    <xf numFmtId="0" fontId="35" fillId="3" borderId="1" xfId="0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center" vertical="center"/>
    </xf>
    <xf numFmtId="0" fontId="29" fillId="7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14" fontId="33" fillId="0" borderId="1" xfId="0" applyNumberFormat="1" applyFont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/>
    </xf>
    <xf numFmtId="14" fontId="29" fillId="8" borderId="1" xfId="0" applyNumberFormat="1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0" fontId="29" fillId="8" borderId="0" xfId="0" applyFont="1" applyFill="1">
      <alignment vertical="center"/>
    </xf>
    <xf numFmtId="0" fontId="42" fillId="0" borderId="1" xfId="0" applyFont="1" applyBorder="1" applyAlignment="1">
      <alignment horizontal="center" vertical="center"/>
    </xf>
    <xf numFmtId="0" fontId="43" fillId="0" borderId="0" xfId="0" applyFont="1">
      <alignment vertical="center"/>
    </xf>
    <xf numFmtId="0" fontId="5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28" fillId="7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0" fontId="46" fillId="4" borderId="1" xfId="0" applyFont="1" applyFill="1" applyBorder="1" applyAlignment="1">
      <alignment horizontal="center" vertical="center"/>
    </xf>
    <xf numFmtId="0" fontId="47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16" fontId="29" fillId="0" borderId="1" xfId="0" applyNumberFormat="1" applyFont="1" applyBorder="1" applyAlignment="1">
      <alignment horizontal="center" vertical="center"/>
    </xf>
    <xf numFmtId="0" fontId="28" fillId="4" borderId="0" xfId="0" applyFont="1" applyFill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0" xfId="0" applyFont="1" applyFill="1">
      <alignment vertical="center"/>
    </xf>
    <xf numFmtId="16" fontId="29" fillId="4" borderId="1" xfId="0" applyNumberFormat="1" applyFont="1" applyFill="1" applyBorder="1" applyAlignment="1">
      <alignment horizontal="center" vertical="center"/>
    </xf>
    <xf numFmtId="16" fontId="28" fillId="4" borderId="1" xfId="0" applyNumberFormat="1" applyFont="1" applyFill="1" applyBorder="1" applyAlignment="1">
      <alignment horizontal="center" vertical="center"/>
    </xf>
    <xf numFmtId="16" fontId="34" fillId="0" borderId="1" xfId="0" applyNumberFormat="1" applyFont="1" applyBorder="1" applyAlignment="1">
      <alignment horizontal="center" vertical="center"/>
    </xf>
    <xf numFmtId="16" fontId="34" fillId="4" borderId="1" xfId="0" applyNumberFormat="1" applyFont="1" applyFill="1" applyBorder="1" applyAlignment="1">
      <alignment horizontal="center" vertical="center"/>
    </xf>
    <xf numFmtId="16" fontId="33" fillId="4" borderId="1" xfId="0" applyNumberFormat="1" applyFont="1" applyFill="1" applyBorder="1" applyAlignment="1">
      <alignment horizontal="center" vertical="center"/>
    </xf>
    <xf numFmtId="14" fontId="34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3" fillId="4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" fontId="2" fillId="0" borderId="0" xfId="0" applyNumberFormat="1" applyFont="1" applyAlignment="1">
      <alignment horizontal="center" vertical="center"/>
    </xf>
    <xf numFmtId="0" fontId="49" fillId="4" borderId="1" xfId="0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5" fillId="0" borderId="1" xfId="0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52" fillId="4" borderId="1" xfId="0" applyFont="1" applyFill="1" applyBorder="1" applyAlignment="1">
      <alignment horizontal="center" vertical="center"/>
    </xf>
    <xf numFmtId="14" fontId="39" fillId="4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50" fillId="4" borderId="1" xfId="0" applyFont="1" applyFill="1" applyBorder="1" applyAlignment="1">
      <alignment horizontal="center" vertical="center"/>
    </xf>
    <xf numFmtId="0" fontId="42" fillId="6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53" fillId="4" borderId="1" xfId="0" applyFont="1" applyFill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6" fontId="9" fillId="4" borderId="1" xfId="0" applyNumberFormat="1" applyFont="1" applyFill="1" applyBorder="1" applyAlignment="1">
      <alignment horizontal="center" vertical="center"/>
    </xf>
    <xf numFmtId="14" fontId="33" fillId="4" borderId="1" xfId="0" applyNumberFormat="1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4" fillId="5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39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6" fillId="0" borderId="1" xfId="0" applyFont="1" applyBorder="1" applyAlignment="1">
      <alignment horizontal="left" vertical="center"/>
    </xf>
    <xf numFmtId="0" fontId="57" fillId="0" borderId="1" xfId="0" applyFont="1" applyBorder="1" applyAlignment="1">
      <alignment horizontal="left" vertical="center"/>
    </xf>
    <xf numFmtId="0" fontId="15" fillId="0" borderId="1" xfId="0" applyFont="1" applyBorder="1">
      <alignment vertical="center"/>
    </xf>
    <xf numFmtId="0" fontId="56" fillId="0" borderId="1" xfId="0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2" fontId="2" fillId="0" borderId="0" xfId="0" applyNumberFormat="1" applyFont="1">
      <alignment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48" fillId="4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6" fontId="35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8" fillId="4" borderId="1" xfId="0" applyFont="1" applyFill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59" fillId="4" borderId="1" xfId="0" applyFont="1" applyFill="1" applyBorder="1" applyAlignment="1">
      <alignment horizontal="center" vertical="center"/>
    </xf>
    <xf numFmtId="0" fontId="29" fillId="4" borderId="8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9" borderId="0" xfId="0" applyFont="1" applyFill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61" fillId="4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6" fontId="16" fillId="9" borderId="1" xfId="0" applyNumberFormat="1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4476750</xdr:colOff>
      <xdr:row>221</xdr:row>
      <xdr:rowOff>68035</xdr:rowOff>
    </xdr:from>
    <xdr:to>
      <xdr:col>18</xdr:col>
      <xdr:colOff>4667250</xdr:colOff>
      <xdr:row>222</xdr:row>
      <xdr:rowOff>68036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45175714" y="6136821"/>
          <a:ext cx="190500" cy="340179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1047750</xdr:colOff>
      <xdr:row>313</xdr:row>
      <xdr:rowOff>27214</xdr:rowOff>
    </xdr:from>
    <xdr:to>
      <xdr:col>20</xdr:col>
      <xdr:colOff>1986643</xdr:colOff>
      <xdr:row>314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74050071" y="3374571"/>
          <a:ext cx="938893" cy="3129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0</xdr:colOff>
      <xdr:row>357</xdr:row>
      <xdr:rowOff>0</xdr:rowOff>
    </xdr:from>
    <xdr:to>
      <xdr:col>12</xdr:col>
      <xdr:colOff>304800</xdr:colOff>
      <xdr:row>383</xdr:row>
      <xdr:rowOff>304800</xdr:rowOff>
    </xdr:to>
    <xdr:sp macro="" textlink="">
      <xdr:nvSpPr>
        <xdr:cNvPr id="1025" name="AutoShape 1" descr="data:image/png;base64,iVBORw0KGgoAAAANSUhEUgAAABgAAAAYBAMAAAASWSDLAAAAAXNSR0IArs4c6QAAABtQTFRFAAAA////////////////////////////////600+wgAAAAl0Uk5TAAMKSKqrxMrMLwzd/QAAAFNJREFUGNNjYCAWCEEoRRDBGGYAophTBIAkU0YxiGPepgCm2oFSzBVgIQgNFoFKwSTAUnAJkBRcAiSFkEDlICtDMQDZaBRLkZ2D4lAUL6B4jigAABZQGm2ENmfZAAAAAElFTkSuQmCC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3663850" y="1797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0</xdr:colOff>
      <xdr:row>366</xdr:row>
      <xdr:rowOff>0</xdr:rowOff>
    </xdr:from>
    <xdr:ext cx="304800" cy="304800"/>
    <xdr:sp macro="" textlink="">
      <xdr:nvSpPr>
        <xdr:cNvPr id="5" name="AutoShape 1" descr="data:image/png;base64,iVBORw0KGgoAAAANSUhEUgAAABgAAAAYBAMAAAASWSDLAAAAAXNSR0IArs4c6QAAABtQTFRFAAAA////////////////////////////////600+wgAAAAl0Uk5TAAMKSKqrxMrMLwzd/QAAAFNJREFUGNNjYCAWCEEoRRDBGGYAophTBIAkU0YxiGPepgCm2oFSzBVgIQgNFoFKwSTAUnAJkBRcAiSFkEDlICtDMQDZaBRLkZ2D4lAUL6B4jigAABZQGm2ENmfZAAAAAElFTkSuQmCC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40780607" y="18315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17</xdr:row>
      <xdr:rowOff>308428</xdr:rowOff>
    </xdr:from>
    <xdr:to>
      <xdr:col>15</xdr:col>
      <xdr:colOff>0</xdr:colOff>
      <xdr:row>18</xdr:row>
      <xdr:rowOff>72572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12E197D-03D7-EADD-3EE3-27E676B637AE}"/>
            </a:ext>
          </a:extLst>
        </xdr:cNvPr>
        <xdr:cNvCxnSpPr/>
      </xdr:nvCxnSpPr>
      <xdr:spPr>
        <a:xfrm>
          <a:off x="34734500" y="3565071"/>
          <a:ext cx="0" cy="907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819150</xdr:colOff>
      <xdr:row>113</xdr:row>
      <xdr:rowOff>66675</xdr:rowOff>
    </xdr:from>
    <xdr:to>
      <xdr:col>20</xdr:col>
      <xdr:colOff>1514475</xdr:colOff>
      <xdr:row>113</xdr:row>
      <xdr:rowOff>323850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 flipV="1">
          <a:off x="56216550" y="1704975"/>
          <a:ext cx="695325" cy="257175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2207559</xdr:colOff>
      <xdr:row>116</xdr:row>
      <xdr:rowOff>44824</xdr:rowOff>
    </xdr:from>
    <xdr:to>
      <xdr:col>13</xdr:col>
      <xdr:colOff>2308412</xdr:colOff>
      <xdr:row>116</xdr:row>
      <xdr:rowOff>246530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 flipV="1">
          <a:off x="37719000" y="2689412"/>
          <a:ext cx="100853" cy="201706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2151530</xdr:colOff>
      <xdr:row>116</xdr:row>
      <xdr:rowOff>67236</xdr:rowOff>
    </xdr:from>
    <xdr:to>
      <xdr:col>13</xdr:col>
      <xdr:colOff>2375647</xdr:colOff>
      <xdr:row>116</xdr:row>
      <xdr:rowOff>313765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37662971" y="2711824"/>
          <a:ext cx="224117" cy="246529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0</xdr:colOff>
      <xdr:row>408</xdr:row>
      <xdr:rowOff>0</xdr:rowOff>
    </xdr:from>
    <xdr:to>
      <xdr:col>5</xdr:col>
      <xdr:colOff>304800</xdr:colOff>
      <xdr:row>442</xdr:row>
      <xdr:rowOff>304800</xdr:rowOff>
    </xdr:to>
    <xdr:sp macro="" textlink="">
      <xdr:nvSpPr>
        <xdr:cNvPr id="2049" name="AutoShape 1" descr="data:image/png;base64,iVBORw0KGgoAAAANSUhEUgAAABgAAAAYBAMAAAASWSDLAAAAAXNSR0IArs4c6QAAABtQTFRFAAAA////////////////////////////////600+wgAAAAl0Uk5TAAMKSKqrxMrMLwzd/QAAAFNJREFUGNNjYCAWCEEoRRDBGGYAophTBIAkU0YxiGPepgCm2oFSzBVgIQgNFoFKwSTAUnAJkBRcAiSFkEDlICtDMQDZaBRLkZ2D4lAUL6B4jigAABZQGm2ENmfZAAAAAElFTkSuQmCC"/>
        <xdr:cNvSpPr>
          <a:spLocks noChangeAspect="1" noChangeArrowheads="1"/>
        </xdr:cNvSpPr>
      </xdr:nvSpPr>
      <xdr:spPr bwMode="auto">
        <a:xfrm>
          <a:off x="20107275" y="897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404</xdr:row>
      <xdr:rowOff>0</xdr:rowOff>
    </xdr:from>
    <xdr:to>
      <xdr:col>16</xdr:col>
      <xdr:colOff>304800</xdr:colOff>
      <xdr:row>442</xdr:row>
      <xdr:rowOff>304800</xdr:rowOff>
    </xdr:to>
    <xdr:sp macro="" textlink="">
      <xdr:nvSpPr>
        <xdr:cNvPr id="2053" name="AutoShape 5" descr="data:image/png;base64,iVBORw0KGgoAAAANSUhEUgAAABgAAAAYBAMAAAASWSDLAAAAAXNSR0IArs4c6QAAABtQTFRFAAAA////////////////////////////////600+wgAAAAl0Uk5TAAMKSKqrxMrMLwzd/QAAAFNJREFUGNNjYCAWCEEoRRDBGGYAophTBIAkU0YxiGPepgCm2oFSzBVgIQgNFoFKwSTAUnAJkBRcAiSFkEDlICtDMQDZaBRLkZ2D4lAUL6B4jigAABZQGm2ENmfZAAAAAElFTkSuQmCC"/>
        <xdr:cNvSpPr>
          <a:spLocks noChangeAspect="1" noChangeArrowheads="1"/>
        </xdr:cNvSpPr>
      </xdr:nvSpPr>
      <xdr:spPr bwMode="auto">
        <a:xfrm>
          <a:off x="66817875" y="763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</xdr:col>
      <xdr:colOff>0</xdr:colOff>
      <xdr:row>408</xdr:row>
      <xdr:rowOff>0</xdr:rowOff>
    </xdr:from>
    <xdr:ext cx="304800" cy="304800"/>
    <xdr:sp macro="" textlink="">
      <xdr:nvSpPr>
        <xdr:cNvPr id="8" name="AutoShape 1" descr="data:image/png;base64,iVBORw0KGgoAAAANSUhEUgAAABgAAAAYBAMAAAASWSDLAAAAAXNSR0IArs4c6QAAABtQTFRFAAAA////////////////////////////////600+wgAAAAl0Uk5TAAMKSKqrxMrMLwzd/QAAAFNJREFUGNNjYCAWCEEoRRDBGGYAophTBIAkU0YxiGPepgCm2oFSzBVgIQgNFoFKwSTAUnAJkBRcAiSFkEDlICtDMQDZaBRLkZ2D4lAUL6B4jigAABZQGm2ENmfZAAAAAElFTkSuQmCC"/>
        <xdr:cNvSpPr>
          <a:spLocks noChangeAspect="1" noChangeArrowheads="1"/>
        </xdr:cNvSpPr>
      </xdr:nvSpPr>
      <xdr:spPr bwMode="auto">
        <a:xfrm>
          <a:off x="12694227" y="12988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408</xdr:row>
      <xdr:rowOff>0</xdr:rowOff>
    </xdr:from>
    <xdr:ext cx="304800" cy="304800"/>
    <xdr:sp macro="" textlink="">
      <xdr:nvSpPr>
        <xdr:cNvPr id="9" name="AutoShape 1" descr="data:image/png;base64,iVBORw0KGgoAAAANSUhEUgAAABgAAAAYBAMAAAASWSDLAAAAAXNSR0IArs4c6QAAABtQTFRFAAAA////////////////////////////////600+wgAAAAl0Uk5TAAMKSKqrxMrMLwzd/QAAAFNJREFUGNNjYCAWCEEoRRDBGGYAophTBIAkU0YxiGPepgCm2oFSzBVgIQgNFoFKwSTAUnAJkBRcAiSFkEDlICtDMQDZaBRLkZ2D4lAUL6B4jigAABZQGm2ENmfZAAAAAElFTkSuQmCC"/>
        <xdr:cNvSpPr>
          <a:spLocks noChangeAspect="1" noChangeArrowheads="1"/>
        </xdr:cNvSpPr>
      </xdr:nvSpPr>
      <xdr:spPr bwMode="auto">
        <a:xfrm>
          <a:off x="12694227" y="12988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79"/>
  <sheetViews>
    <sheetView topLeftCell="K1" zoomScale="70" zoomScaleNormal="70" workbookViewId="0">
      <pane ySplit="2" topLeftCell="A3" activePane="bottomLeft" state="frozen"/>
      <selection activeCell="F1" sqref="F1"/>
      <selection pane="bottomLeft" activeCell="M452" sqref="M452"/>
    </sheetView>
  </sheetViews>
  <sheetFormatPr defaultColWidth="9" defaultRowHeight="16.5"/>
  <cols>
    <col min="1" max="1" width="70.28515625" style="57" customWidth="1"/>
    <col min="2" max="2" width="48.7109375" style="57" customWidth="1"/>
    <col min="3" max="3" width="41.85546875" style="57" customWidth="1"/>
    <col min="4" max="4" width="53.42578125" style="57" customWidth="1"/>
    <col min="5" max="5" width="73" style="57" customWidth="1"/>
    <col min="6" max="6" width="58" style="57" customWidth="1"/>
    <col min="7" max="7" width="50.28515625" style="57" customWidth="1"/>
    <col min="8" max="9" width="45.42578125" style="57" customWidth="1"/>
    <col min="10" max="10" width="49.85546875" style="57" customWidth="1"/>
    <col min="11" max="11" width="61.28515625" style="57" customWidth="1"/>
    <col min="12" max="12" width="56.7109375" style="57" customWidth="1"/>
    <col min="13" max="13" width="56.5703125" style="57" customWidth="1"/>
    <col min="14" max="14" width="56.140625" style="57" customWidth="1"/>
    <col min="15" max="15" width="74" style="57" customWidth="1"/>
    <col min="16" max="16" width="70" style="57" customWidth="1"/>
    <col min="17" max="17" width="69.42578125" style="57" customWidth="1"/>
    <col min="18" max="18" width="49.28515625" style="57" customWidth="1"/>
    <col min="19" max="19" width="54.85546875" style="57" customWidth="1"/>
    <col min="20" max="20" width="73.140625" style="57" customWidth="1"/>
    <col min="21" max="21" width="58" style="57" customWidth="1"/>
    <col min="22" max="22" width="56.5703125" style="57" customWidth="1"/>
    <col min="23" max="23" width="71.140625" style="57" customWidth="1"/>
    <col min="24" max="16384" width="9" style="35"/>
  </cols>
  <sheetData>
    <row r="1" spans="1:23" ht="39.75" customHeight="1">
      <c r="C1" s="57" t="s">
        <v>7915</v>
      </c>
      <c r="E1" s="57" t="s">
        <v>7915</v>
      </c>
      <c r="G1" s="57" t="s">
        <v>7915</v>
      </c>
      <c r="H1" s="57" t="s">
        <v>7915</v>
      </c>
      <c r="J1" s="57" t="s">
        <v>7915</v>
      </c>
      <c r="K1" s="57" t="s">
        <v>7915</v>
      </c>
      <c r="L1" s="57" t="s">
        <v>7915</v>
      </c>
      <c r="O1" s="57" t="s">
        <v>7915</v>
      </c>
      <c r="P1" s="57" t="s">
        <v>7915</v>
      </c>
      <c r="S1" s="57" t="s">
        <v>7915</v>
      </c>
    </row>
    <row r="2" spans="1:23" ht="39.75" customHeight="1">
      <c r="A2" s="36" t="s">
        <v>1109</v>
      </c>
      <c r="B2" s="36" t="s">
        <v>7646</v>
      </c>
      <c r="C2" s="36" t="s">
        <v>7645</v>
      </c>
      <c r="D2" s="36" t="s">
        <v>7644</v>
      </c>
      <c r="E2" s="183" t="s">
        <v>7643</v>
      </c>
      <c r="F2" s="186" t="s">
        <v>6298</v>
      </c>
      <c r="G2" s="183" t="s">
        <v>7642</v>
      </c>
      <c r="H2" s="183" t="s">
        <v>7765</v>
      </c>
      <c r="I2" s="36" t="s">
        <v>7766</v>
      </c>
      <c r="J2" s="36" t="s">
        <v>7767</v>
      </c>
      <c r="K2" s="183" t="s">
        <v>7768</v>
      </c>
      <c r="L2" s="183" t="s">
        <v>7857</v>
      </c>
      <c r="M2" s="36" t="s">
        <v>7789</v>
      </c>
      <c r="N2" s="36" t="s">
        <v>7684</v>
      </c>
      <c r="O2" s="36" t="s">
        <v>7839</v>
      </c>
      <c r="P2" s="36" t="s">
        <v>1110</v>
      </c>
      <c r="Q2" s="36" t="s">
        <v>7685</v>
      </c>
      <c r="R2" s="36" t="s">
        <v>7686</v>
      </c>
      <c r="S2" s="36" t="s">
        <v>7650</v>
      </c>
      <c r="T2" s="36" t="s">
        <v>7649</v>
      </c>
      <c r="U2" s="36" t="s">
        <v>7648</v>
      </c>
      <c r="V2" s="36" t="s">
        <v>7647</v>
      </c>
      <c r="W2" s="36" t="s">
        <v>1111</v>
      </c>
    </row>
    <row r="3" spans="1:23" ht="26.25" hidden="1" customHeight="1">
      <c r="A3" s="37" t="s">
        <v>1841</v>
      </c>
      <c r="B3" s="37" t="s">
        <v>1842</v>
      </c>
      <c r="C3" s="37" t="s">
        <v>1843</v>
      </c>
      <c r="D3" s="37" t="s">
        <v>1844</v>
      </c>
      <c r="E3" s="37" t="s">
        <v>1845</v>
      </c>
      <c r="F3" s="37" t="s">
        <v>1843</v>
      </c>
      <c r="G3" s="37" t="s">
        <v>1846</v>
      </c>
      <c r="H3" s="37" t="s">
        <v>1847</v>
      </c>
      <c r="I3" s="37" t="s">
        <v>1848</v>
      </c>
      <c r="J3" s="37" t="s">
        <v>1848</v>
      </c>
      <c r="K3" s="37" t="s">
        <v>1846</v>
      </c>
      <c r="L3" s="37" t="s">
        <v>1849</v>
      </c>
      <c r="M3" s="37" t="s">
        <v>166</v>
      </c>
      <c r="N3" s="37" t="s">
        <v>1850</v>
      </c>
      <c r="O3" s="37" t="s">
        <v>75</v>
      </c>
      <c r="P3" s="37" t="s">
        <v>0</v>
      </c>
      <c r="Q3" s="37" t="s">
        <v>0</v>
      </c>
      <c r="R3" s="37" t="s">
        <v>0</v>
      </c>
      <c r="S3" s="37" t="s">
        <v>0</v>
      </c>
      <c r="T3" s="37" t="s">
        <v>1851</v>
      </c>
      <c r="U3" s="37" t="s">
        <v>1852</v>
      </c>
      <c r="V3" s="37" t="s">
        <v>1</v>
      </c>
      <c r="W3" s="37" t="s">
        <v>1853</v>
      </c>
    </row>
    <row r="4" spans="1:23" ht="26.25" hidden="1" customHeight="1">
      <c r="A4" s="37" t="s">
        <v>1854</v>
      </c>
      <c r="B4" s="37" t="s">
        <v>1855</v>
      </c>
      <c r="C4" s="38" t="s">
        <v>247</v>
      </c>
      <c r="D4" s="38" t="s">
        <v>247</v>
      </c>
      <c r="E4" s="37" t="s">
        <v>1856</v>
      </c>
      <c r="F4" s="39" t="s">
        <v>46</v>
      </c>
      <c r="G4" s="37" t="s">
        <v>1857</v>
      </c>
      <c r="H4" s="37" t="s">
        <v>1858</v>
      </c>
      <c r="I4" s="37" t="s">
        <v>51</v>
      </c>
      <c r="J4" s="40" t="s">
        <v>54</v>
      </c>
      <c r="K4" s="37" t="s">
        <v>7</v>
      </c>
      <c r="L4" s="37" t="s">
        <v>9</v>
      </c>
      <c r="M4" s="41" t="s">
        <v>219</v>
      </c>
      <c r="N4" s="37" t="s">
        <v>1859</v>
      </c>
      <c r="O4" s="41" t="s">
        <v>76</v>
      </c>
      <c r="P4" s="39" t="s">
        <v>86</v>
      </c>
      <c r="Q4" s="37" t="s">
        <v>104</v>
      </c>
      <c r="R4" s="37" t="s">
        <v>104</v>
      </c>
      <c r="S4" s="37" t="s">
        <v>104</v>
      </c>
      <c r="T4" s="37" t="s">
        <v>1860</v>
      </c>
      <c r="U4" s="37" t="s">
        <v>1861</v>
      </c>
      <c r="V4" s="37" t="s">
        <v>2</v>
      </c>
      <c r="W4" s="37" t="s">
        <v>1862</v>
      </c>
    </row>
    <row r="5" spans="1:23" ht="26.25" hidden="1" customHeight="1">
      <c r="A5" s="42" t="s">
        <v>33</v>
      </c>
      <c r="B5" s="39" t="s">
        <v>78</v>
      </c>
      <c r="C5" s="43" t="s">
        <v>415</v>
      </c>
      <c r="D5" s="43" t="s">
        <v>387</v>
      </c>
      <c r="E5" s="37" t="s">
        <v>1863</v>
      </c>
      <c r="F5" s="41" t="s">
        <v>85</v>
      </c>
      <c r="G5" s="37" t="s">
        <v>1864</v>
      </c>
      <c r="H5" s="37" t="s">
        <v>1865</v>
      </c>
      <c r="I5" s="37" t="s">
        <v>52</v>
      </c>
      <c r="J5" s="39" t="s">
        <v>55</v>
      </c>
      <c r="K5" s="37" t="s">
        <v>16</v>
      </c>
      <c r="L5" s="37" t="s">
        <v>8</v>
      </c>
      <c r="M5" s="39" t="s">
        <v>227</v>
      </c>
      <c r="N5" s="37" t="s">
        <v>1866</v>
      </c>
      <c r="O5" s="39" t="s">
        <v>77</v>
      </c>
      <c r="P5" s="39" t="s">
        <v>87</v>
      </c>
      <c r="Q5" s="39" t="s">
        <v>278</v>
      </c>
      <c r="R5" s="39" t="s">
        <v>299</v>
      </c>
      <c r="S5" s="39" t="s">
        <v>300</v>
      </c>
      <c r="T5" s="37" t="s">
        <v>1867</v>
      </c>
      <c r="U5" s="37" t="s">
        <v>1868</v>
      </c>
      <c r="V5" s="37" t="s">
        <v>3</v>
      </c>
      <c r="W5" s="37" t="s">
        <v>1869</v>
      </c>
    </row>
    <row r="6" spans="1:23" ht="26.25" hidden="1" customHeight="1">
      <c r="A6" s="37" t="s">
        <v>32</v>
      </c>
      <c r="B6" s="39" t="s">
        <v>79</v>
      </c>
      <c r="C6" s="39" t="s">
        <v>425</v>
      </c>
      <c r="D6" s="39" t="s">
        <v>419</v>
      </c>
      <c r="E6" s="40" t="s">
        <v>1870</v>
      </c>
      <c r="F6" s="39" t="s">
        <v>97</v>
      </c>
      <c r="G6" s="37" t="s">
        <v>1871</v>
      </c>
      <c r="H6" s="37" t="s">
        <v>1872</v>
      </c>
      <c r="I6" s="39" t="s">
        <v>53</v>
      </c>
      <c r="J6" s="39" t="s">
        <v>56</v>
      </c>
      <c r="K6" s="37" t="s">
        <v>43</v>
      </c>
      <c r="L6" s="37" t="s">
        <v>10</v>
      </c>
      <c r="M6" s="39" t="s">
        <v>228</v>
      </c>
      <c r="N6" s="37" t="s">
        <v>22</v>
      </c>
      <c r="O6" s="39" t="s">
        <v>96</v>
      </c>
      <c r="P6" s="39" t="s">
        <v>155</v>
      </c>
      <c r="Q6" s="44" t="s">
        <v>287</v>
      </c>
      <c r="R6" s="39" t="s">
        <v>298</v>
      </c>
      <c r="S6" s="38" t="s">
        <v>328</v>
      </c>
      <c r="T6" s="37" t="s">
        <v>21</v>
      </c>
      <c r="U6" s="37" t="s">
        <v>1873</v>
      </c>
      <c r="V6" s="37" t="s">
        <v>1874</v>
      </c>
      <c r="W6" s="37" t="s">
        <v>1875</v>
      </c>
    </row>
    <row r="7" spans="1:23" ht="26.25" hidden="1" customHeight="1">
      <c r="A7" s="37" t="s">
        <v>149</v>
      </c>
      <c r="B7" s="38" t="s">
        <v>247</v>
      </c>
      <c r="C7" s="39" t="s">
        <v>435</v>
      </c>
      <c r="D7" s="41" t="s">
        <v>420</v>
      </c>
      <c r="E7" s="37" t="s">
        <v>1876</v>
      </c>
      <c r="F7" s="39" t="s">
        <v>136</v>
      </c>
      <c r="G7" s="37" t="s">
        <v>102</v>
      </c>
      <c r="H7" s="37" t="s">
        <v>36</v>
      </c>
      <c r="I7" s="39" t="s">
        <v>59</v>
      </c>
      <c r="J7" s="39" t="s">
        <v>246</v>
      </c>
      <c r="K7" s="37" t="s">
        <v>47</v>
      </c>
      <c r="L7" s="37" t="s">
        <v>11</v>
      </c>
      <c r="M7" s="41" t="s">
        <v>249</v>
      </c>
      <c r="N7" s="37" t="s">
        <v>24</v>
      </c>
      <c r="O7" s="39" t="s">
        <v>108</v>
      </c>
      <c r="P7" s="39" t="s">
        <v>156</v>
      </c>
      <c r="Q7" s="41" t="s">
        <v>288</v>
      </c>
      <c r="R7" s="39" t="s">
        <v>312</v>
      </c>
      <c r="S7" s="38" t="s">
        <v>327</v>
      </c>
      <c r="T7" s="39" t="s">
        <v>83</v>
      </c>
      <c r="U7" s="37" t="s">
        <v>1877</v>
      </c>
      <c r="V7" s="37" t="s">
        <v>1878</v>
      </c>
      <c r="W7" s="37" t="s">
        <v>1879</v>
      </c>
    </row>
    <row r="8" spans="1:23" ht="26.25" hidden="1" customHeight="1">
      <c r="A8" s="39" t="s">
        <v>331</v>
      </c>
      <c r="B8" s="43" t="s">
        <v>254</v>
      </c>
      <c r="C8" s="41" t="s">
        <v>475</v>
      </c>
      <c r="D8" s="39" t="s">
        <v>427</v>
      </c>
      <c r="E8" s="37" t="s">
        <v>1880</v>
      </c>
      <c r="F8" s="39" t="s">
        <v>135</v>
      </c>
      <c r="G8" s="39" t="s">
        <v>134</v>
      </c>
      <c r="H8" s="39" t="s">
        <v>89</v>
      </c>
      <c r="I8" s="39" t="s">
        <v>60</v>
      </c>
      <c r="J8" s="38" t="s">
        <v>348</v>
      </c>
      <c r="K8" s="37" t="s">
        <v>48</v>
      </c>
      <c r="L8" s="37" t="s">
        <v>12</v>
      </c>
      <c r="M8" s="39" t="s">
        <v>266</v>
      </c>
      <c r="N8" s="37" t="s">
        <v>50</v>
      </c>
      <c r="O8" s="39" t="s">
        <v>109</v>
      </c>
      <c r="P8" s="39" t="s">
        <v>157</v>
      </c>
      <c r="Q8" s="39" t="s">
        <v>296</v>
      </c>
      <c r="R8" s="41" t="s">
        <v>346</v>
      </c>
      <c r="S8" s="38" t="s">
        <v>347</v>
      </c>
      <c r="T8" s="39" t="s">
        <v>84</v>
      </c>
      <c r="U8" s="37" t="s">
        <v>1881</v>
      </c>
      <c r="V8" s="37" t="s">
        <v>4</v>
      </c>
      <c r="W8" s="37" t="s">
        <v>25</v>
      </c>
    </row>
    <row r="9" spans="1:23" ht="26.25" hidden="1" customHeight="1">
      <c r="A9" s="39" t="s">
        <v>577</v>
      </c>
      <c r="B9" s="39" t="s">
        <v>426</v>
      </c>
      <c r="C9" s="39" t="s">
        <v>474</v>
      </c>
      <c r="D9" s="39" t="s">
        <v>428</v>
      </c>
      <c r="E9" s="37" t="s">
        <v>1882</v>
      </c>
      <c r="F9" s="39" t="s">
        <v>242</v>
      </c>
      <c r="G9" s="39" t="e">
        <f>G8-SUM(F7:F13)</f>
        <v>#VALUE!</v>
      </c>
      <c r="H9" s="39" t="s">
        <v>90</v>
      </c>
      <c r="I9" s="39" t="s">
        <v>61</v>
      </c>
      <c r="J9" s="38" t="s">
        <v>411</v>
      </c>
      <c r="K9" s="37" t="s">
        <v>49</v>
      </c>
      <c r="L9" s="37" t="s">
        <v>40</v>
      </c>
      <c r="M9" s="39" t="s">
        <v>268</v>
      </c>
      <c r="N9" s="37" t="s">
        <v>113</v>
      </c>
      <c r="O9" s="39" t="s">
        <v>107</v>
      </c>
      <c r="P9" s="39" t="s">
        <v>158</v>
      </c>
      <c r="Q9" s="41" t="s">
        <v>297</v>
      </c>
      <c r="R9" s="38" t="s">
        <v>345</v>
      </c>
      <c r="S9" s="39" t="s">
        <v>354</v>
      </c>
      <c r="T9" s="39" t="s">
        <v>99</v>
      </c>
      <c r="U9" s="37" t="s">
        <v>6</v>
      </c>
      <c r="V9" s="37" t="s">
        <v>5</v>
      </c>
      <c r="W9" s="37" t="s">
        <v>26</v>
      </c>
    </row>
    <row r="10" spans="1:23" ht="26.25" hidden="1" customHeight="1">
      <c r="A10" s="39" t="s">
        <v>594</v>
      </c>
      <c r="B10" s="41" t="s">
        <v>451</v>
      </c>
      <c r="C10" s="41" t="s">
        <v>473</v>
      </c>
      <c r="D10" s="39" t="s">
        <v>439</v>
      </c>
      <c r="E10" s="40" t="s">
        <v>1883</v>
      </c>
      <c r="F10" s="44" t="s">
        <v>559</v>
      </c>
      <c r="G10" s="41" t="s">
        <v>286</v>
      </c>
      <c r="H10" s="39" t="s">
        <v>92</v>
      </c>
      <c r="I10" s="39" t="s">
        <v>62</v>
      </c>
      <c r="J10" s="43" t="s">
        <v>912</v>
      </c>
      <c r="K10" s="37" t="s">
        <v>66</v>
      </c>
      <c r="L10" s="37" t="s">
        <v>41</v>
      </c>
      <c r="M10" s="39" t="s">
        <v>269</v>
      </c>
      <c r="N10" s="39" t="s">
        <v>132</v>
      </c>
      <c r="O10" s="39" t="s">
        <v>111</v>
      </c>
      <c r="P10" s="39" t="s">
        <v>171</v>
      </c>
      <c r="Q10" s="41" t="s">
        <v>301</v>
      </c>
      <c r="R10" s="44" t="s">
        <v>359</v>
      </c>
      <c r="S10" s="43" t="s">
        <v>630</v>
      </c>
      <c r="T10" s="39" t="s">
        <v>98</v>
      </c>
      <c r="U10" s="37" t="s">
        <v>35</v>
      </c>
      <c r="V10" s="37" t="s">
        <v>23</v>
      </c>
      <c r="W10" s="37" t="s">
        <v>27</v>
      </c>
    </row>
    <row r="11" spans="1:23" ht="26.25" hidden="1" customHeight="1">
      <c r="A11" s="39" t="s">
        <v>606</v>
      </c>
      <c r="B11" s="41" t="s">
        <v>450</v>
      </c>
      <c r="C11" s="39" t="s">
        <v>486</v>
      </c>
      <c r="D11" s="39" t="s">
        <v>459</v>
      </c>
      <c r="E11" s="40" t="s">
        <v>1884</v>
      </c>
      <c r="F11" s="41" t="s">
        <v>759</v>
      </c>
      <c r="G11" s="41" t="s">
        <v>289</v>
      </c>
      <c r="H11" s="39" t="s">
        <v>94</v>
      </c>
      <c r="I11" s="39" t="s">
        <v>63</v>
      </c>
      <c r="J11" s="39"/>
      <c r="K11" s="37" t="s">
        <v>67</v>
      </c>
      <c r="L11" s="37" t="s">
        <v>42</v>
      </c>
      <c r="M11" s="41" t="s">
        <v>329</v>
      </c>
      <c r="N11" s="45" t="s">
        <v>133</v>
      </c>
      <c r="O11" s="39" t="s">
        <v>131</v>
      </c>
      <c r="P11" s="41" t="s">
        <v>172</v>
      </c>
      <c r="Q11" s="41" t="s">
        <v>311</v>
      </c>
      <c r="R11" s="38" t="s">
        <v>360</v>
      </c>
      <c r="S11" s="41" t="s">
        <v>688</v>
      </c>
      <c r="T11" s="39" t="s">
        <v>105</v>
      </c>
      <c r="U11" s="37" t="s">
        <v>45</v>
      </c>
      <c r="V11" s="37" t="s">
        <v>34</v>
      </c>
      <c r="W11" s="37" t="s">
        <v>28</v>
      </c>
    </row>
    <row r="12" spans="1:23" ht="26.25" hidden="1" customHeight="1">
      <c r="A12" s="39" t="s">
        <v>621</v>
      </c>
      <c r="B12" s="41" t="s">
        <v>452</v>
      </c>
      <c r="C12" s="41" t="s">
        <v>485</v>
      </c>
      <c r="D12" s="41" t="s">
        <v>458</v>
      </c>
      <c r="E12" s="40" t="s">
        <v>1885</v>
      </c>
      <c r="F12" s="39"/>
      <c r="G12" s="39" t="s">
        <v>292</v>
      </c>
      <c r="H12" s="39" t="s">
        <v>100</v>
      </c>
      <c r="I12" s="39" t="s">
        <v>64</v>
      </c>
      <c r="J12" s="17"/>
      <c r="K12" s="39" t="s">
        <v>68</v>
      </c>
      <c r="L12" s="39" t="s">
        <v>44</v>
      </c>
      <c r="M12" s="41" t="s">
        <v>330</v>
      </c>
      <c r="N12" s="39" t="s">
        <v>182</v>
      </c>
      <c r="O12" s="39" t="s">
        <v>130</v>
      </c>
      <c r="P12" s="39" t="s">
        <v>173</v>
      </c>
      <c r="Q12" s="44" t="s">
        <v>321</v>
      </c>
      <c r="R12" s="38" t="s">
        <v>361</v>
      </c>
      <c r="S12" s="39" t="s">
        <v>689</v>
      </c>
      <c r="T12" s="39" t="s">
        <v>144</v>
      </c>
      <c r="U12" s="39" t="s">
        <v>57</v>
      </c>
      <c r="V12" s="37" t="s">
        <v>71</v>
      </c>
      <c r="W12" s="37" t="s">
        <v>29</v>
      </c>
    </row>
    <row r="13" spans="1:23" ht="26.25" hidden="1" customHeight="1">
      <c r="A13" s="39" t="s">
        <v>623</v>
      </c>
      <c r="B13" s="41" t="s">
        <v>470</v>
      </c>
      <c r="C13" s="39" t="s">
        <v>488</v>
      </c>
      <c r="D13" s="39" t="s">
        <v>461</v>
      </c>
      <c r="E13" s="37" t="s">
        <v>1886</v>
      </c>
      <c r="F13" s="46"/>
      <c r="G13" s="39" t="s">
        <v>512</v>
      </c>
      <c r="H13" s="39" t="s">
        <v>122</v>
      </c>
      <c r="I13" s="41" t="s">
        <v>80</v>
      </c>
      <c r="J13" s="17"/>
      <c r="K13" s="39" t="s">
        <v>65</v>
      </c>
      <c r="L13" s="39" t="s">
        <v>81</v>
      </c>
      <c r="M13" s="41" t="s">
        <v>386</v>
      </c>
      <c r="N13" s="39" t="s">
        <v>181</v>
      </c>
      <c r="O13" s="39" t="s">
        <v>129</v>
      </c>
      <c r="P13" s="41" t="s">
        <v>197</v>
      </c>
      <c r="Q13" s="44" t="s">
        <v>358</v>
      </c>
      <c r="R13" s="43"/>
      <c r="S13" s="39" t="s">
        <v>779</v>
      </c>
      <c r="T13" s="39" t="s">
        <v>145</v>
      </c>
      <c r="U13" s="39" t="s">
        <v>88</v>
      </c>
      <c r="V13" s="37" t="s">
        <v>72</v>
      </c>
      <c r="W13" s="39" t="s">
        <v>30</v>
      </c>
    </row>
    <row r="14" spans="1:23" ht="26.25" hidden="1" customHeight="1">
      <c r="A14" s="39" t="s">
        <v>622</v>
      </c>
      <c r="B14" s="39" t="s">
        <v>471</v>
      </c>
      <c r="C14" s="39" t="s">
        <v>503</v>
      </c>
      <c r="D14" s="39" t="s">
        <v>462</v>
      </c>
      <c r="E14" s="40" t="s">
        <v>1887</v>
      </c>
      <c r="F14" s="17"/>
      <c r="G14" s="39" t="s">
        <v>515</v>
      </c>
      <c r="H14" s="39" t="s">
        <v>121</v>
      </c>
      <c r="I14" s="39" t="s">
        <v>95</v>
      </c>
      <c r="J14" s="17"/>
      <c r="K14" s="39" t="s">
        <v>69</v>
      </c>
      <c r="L14" s="41" t="s">
        <v>82</v>
      </c>
      <c r="M14" s="39" t="s">
        <v>371</v>
      </c>
      <c r="N14" s="39" t="s">
        <v>180</v>
      </c>
      <c r="O14" s="39" t="s">
        <v>128</v>
      </c>
      <c r="P14" s="41" t="s">
        <v>256</v>
      </c>
      <c r="Q14" s="38" t="s">
        <v>357</v>
      </c>
      <c r="R14" s="47"/>
      <c r="S14" s="39" t="s">
        <v>780</v>
      </c>
      <c r="T14" s="39" t="s">
        <v>146</v>
      </c>
      <c r="U14" s="39" t="s">
        <v>101</v>
      </c>
      <c r="V14" s="39" t="s">
        <v>73</v>
      </c>
      <c r="W14" s="39" t="s">
        <v>31</v>
      </c>
    </row>
    <row r="15" spans="1:23" ht="26.25" hidden="1" customHeight="1">
      <c r="A15" s="39" t="s">
        <v>620</v>
      </c>
      <c r="B15" s="39" t="s">
        <v>491</v>
      </c>
      <c r="C15" s="39" t="s">
        <v>511</v>
      </c>
      <c r="D15" s="39" t="s">
        <v>463</v>
      </c>
      <c r="E15" s="37" t="s">
        <v>1888</v>
      </c>
      <c r="F15" s="17"/>
      <c r="G15" s="41" t="s">
        <v>525</v>
      </c>
      <c r="H15" s="39" t="s">
        <v>120</v>
      </c>
      <c r="I15" s="39" t="s">
        <v>126</v>
      </c>
      <c r="J15" s="17"/>
      <c r="K15" s="39" t="s">
        <v>246</v>
      </c>
      <c r="L15" s="41" t="s">
        <v>248</v>
      </c>
      <c r="M15" s="41" t="s">
        <v>434</v>
      </c>
      <c r="N15" s="41" t="s">
        <v>190</v>
      </c>
      <c r="O15" s="39" t="s">
        <v>127</v>
      </c>
      <c r="P15" s="39" t="s">
        <v>255</v>
      </c>
      <c r="Q15" s="38" t="s">
        <v>369</v>
      </c>
      <c r="R15" s="17"/>
      <c r="S15" s="39" t="s">
        <v>816</v>
      </c>
      <c r="T15" s="39" t="s">
        <v>147</v>
      </c>
      <c r="U15" s="39" t="s">
        <v>103</v>
      </c>
      <c r="V15" s="39" t="s">
        <v>74</v>
      </c>
      <c r="W15" s="39" t="s">
        <v>37</v>
      </c>
    </row>
    <row r="16" spans="1:23" ht="26.25" hidden="1" customHeight="1">
      <c r="A16" s="39" t="s">
        <v>619</v>
      </c>
      <c r="B16" s="39" t="s">
        <v>500</v>
      </c>
      <c r="C16" s="39" t="s">
        <v>532</v>
      </c>
      <c r="D16" s="41" t="s">
        <v>466</v>
      </c>
      <c r="E16" s="37" t="s">
        <v>1889</v>
      </c>
      <c r="F16" s="17"/>
      <c r="G16" s="41" t="s">
        <v>529</v>
      </c>
      <c r="H16" s="39" t="s">
        <v>119</v>
      </c>
      <c r="I16" s="39" t="s">
        <v>125</v>
      </c>
      <c r="J16" s="17"/>
      <c r="K16" s="38" t="s">
        <v>348</v>
      </c>
      <c r="L16" s="41" t="s">
        <v>258</v>
      </c>
      <c r="M16" s="43" t="s">
        <v>570</v>
      </c>
      <c r="N16" s="39" t="s">
        <v>189</v>
      </c>
      <c r="O16" s="39" t="s">
        <v>150</v>
      </c>
      <c r="P16" s="41" t="s">
        <v>294</v>
      </c>
      <c r="Q16" s="39" t="s">
        <v>370</v>
      </c>
      <c r="R16" s="47"/>
      <c r="S16" s="39" t="s">
        <v>882</v>
      </c>
      <c r="T16" s="39" t="s">
        <v>161</v>
      </c>
      <c r="U16" s="39" t="s">
        <v>106</v>
      </c>
      <c r="V16" s="39" t="s">
        <v>70</v>
      </c>
      <c r="W16" s="39" t="s">
        <v>39</v>
      </c>
    </row>
    <row r="17" spans="1:23" ht="26.25" hidden="1" customHeight="1">
      <c r="A17" s="39" t="s">
        <v>618</v>
      </c>
      <c r="B17" s="39" t="s">
        <v>499</v>
      </c>
      <c r="C17" s="39" t="s">
        <v>534</v>
      </c>
      <c r="D17" s="39" t="s">
        <v>487</v>
      </c>
      <c r="E17" s="37" t="s">
        <v>1890</v>
      </c>
      <c r="F17" s="46"/>
      <c r="G17" s="41" t="s">
        <v>556</v>
      </c>
      <c r="H17" s="41" t="s">
        <v>118</v>
      </c>
      <c r="I17" s="39" t="s">
        <v>124</v>
      </c>
      <c r="J17" s="17"/>
      <c r="K17" s="43" t="s">
        <v>912</v>
      </c>
      <c r="L17" s="41" t="s">
        <v>290</v>
      </c>
      <c r="M17" s="39" t="s">
        <v>568</v>
      </c>
      <c r="N17" s="39" t="s">
        <v>200</v>
      </c>
      <c r="O17" s="39" t="s">
        <v>151</v>
      </c>
      <c r="P17" s="39" t="s">
        <v>295</v>
      </c>
      <c r="Q17" s="39" t="s">
        <v>373</v>
      </c>
      <c r="R17" s="17"/>
      <c r="S17" s="39" t="s">
        <v>930</v>
      </c>
      <c r="T17" s="39" t="s">
        <v>160</v>
      </c>
      <c r="U17" s="39" t="s">
        <v>115</v>
      </c>
      <c r="V17" s="39" t="s">
        <v>93</v>
      </c>
      <c r="W17" s="39" t="s">
        <v>58</v>
      </c>
    </row>
    <row r="18" spans="1:23" ht="26.25" hidden="1" customHeight="1">
      <c r="A18" s="41" t="s">
        <v>617</v>
      </c>
      <c r="B18" s="39" t="s">
        <v>521</v>
      </c>
      <c r="C18" s="39" t="s">
        <v>535</v>
      </c>
      <c r="D18" s="39" t="s">
        <v>496</v>
      </c>
      <c r="E18" s="37" t="s">
        <v>13</v>
      </c>
      <c r="F18" s="17"/>
      <c r="G18" s="39" t="s">
        <v>576</v>
      </c>
      <c r="H18" s="39" t="s">
        <v>117</v>
      </c>
      <c r="I18" s="39" t="s">
        <v>142</v>
      </c>
      <c r="J18" s="17"/>
      <c r="K18" s="39"/>
      <c r="L18" s="39" t="s">
        <v>291</v>
      </c>
      <c r="M18" s="39" t="s">
        <v>1025</v>
      </c>
      <c r="N18" s="39" t="s">
        <v>199</v>
      </c>
      <c r="O18" s="39" t="s">
        <v>153</v>
      </c>
      <c r="P18" s="39" t="s">
        <v>310</v>
      </c>
      <c r="Q18" s="38" t="s">
        <v>372</v>
      </c>
      <c r="R18" s="17"/>
      <c r="S18" s="39" t="s">
        <v>937</v>
      </c>
      <c r="T18" s="39" t="s">
        <v>159</v>
      </c>
      <c r="U18" s="39" t="s">
        <v>137</v>
      </c>
      <c r="V18" s="39" t="s">
        <v>91</v>
      </c>
      <c r="W18" s="39" t="s">
        <v>222</v>
      </c>
    </row>
    <row r="19" spans="1:23" ht="26.25" hidden="1" customHeight="1">
      <c r="A19" s="41" t="s">
        <v>624</v>
      </c>
      <c r="B19" s="39" t="s">
        <v>528</v>
      </c>
      <c r="C19" s="39" t="s">
        <v>536</v>
      </c>
      <c r="D19" s="39" t="s">
        <v>497</v>
      </c>
      <c r="E19" s="40" t="s">
        <v>38</v>
      </c>
      <c r="F19" s="17"/>
      <c r="G19" s="39" t="s">
        <v>602</v>
      </c>
      <c r="H19" s="41" t="s">
        <v>116</v>
      </c>
      <c r="I19" s="39" t="s">
        <v>141</v>
      </c>
      <c r="J19" s="17"/>
      <c r="K19" s="17"/>
      <c r="L19" s="39" t="s">
        <v>293</v>
      </c>
      <c r="M19" s="39" t="s">
        <v>1082</v>
      </c>
      <c r="N19" s="39" t="s">
        <v>198</v>
      </c>
      <c r="O19" s="39" t="s">
        <v>152</v>
      </c>
      <c r="P19" s="39" t="s">
        <v>314</v>
      </c>
      <c r="Q19" s="38" t="s">
        <v>376</v>
      </c>
      <c r="R19" s="17"/>
      <c r="S19" s="39" t="s">
        <v>1026</v>
      </c>
      <c r="T19" s="39" t="s">
        <v>162</v>
      </c>
      <c r="U19" s="39" t="s">
        <v>143</v>
      </c>
      <c r="V19" s="39" t="s">
        <v>110</v>
      </c>
      <c r="W19" s="41" t="s">
        <v>221</v>
      </c>
    </row>
    <row r="20" spans="1:23" ht="26.25" hidden="1" customHeight="1">
      <c r="A20" s="41" t="s">
        <v>625</v>
      </c>
      <c r="B20" s="39" t="s">
        <v>546</v>
      </c>
      <c r="C20" s="39" t="s">
        <v>542</v>
      </c>
      <c r="D20" s="39" t="s">
        <v>501</v>
      </c>
      <c r="E20" s="37" t="s">
        <v>18</v>
      </c>
      <c r="F20" s="17"/>
      <c r="G20" s="39" t="s">
        <v>607</v>
      </c>
      <c r="H20" s="39" t="s">
        <v>123</v>
      </c>
      <c r="I20" s="39" t="s">
        <v>140</v>
      </c>
      <c r="J20" s="47"/>
      <c r="K20" s="47"/>
      <c r="L20" s="39" t="s">
        <v>319</v>
      </c>
      <c r="M20" s="39"/>
      <c r="N20" s="39" t="s">
        <v>229</v>
      </c>
      <c r="O20" s="39" t="s">
        <v>154</v>
      </c>
      <c r="P20" s="41" t="s">
        <v>315</v>
      </c>
      <c r="Q20" s="39" t="s">
        <v>379</v>
      </c>
      <c r="R20" s="17"/>
      <c r="S20" s="39" t="s">
        <v>1027</v>
      </c>
      <c r="T20" s="39" t="s">
        <v>168</v>
      </c>
      <c r="U20" s="39" t="s">
        <v>163</v>
      </c>
      <c r="V20" s="39" t="s">
        <v>112</v>
      </c>
      <c r="W20" s="39" t="s">
        <v>223</v>
      </c>
    </row>
    <row r="21" spans="1:23" ht="26.25" hidden="1" customHeight="1">
      <c r="A21" s="39" t="s">
        <v>626</v>
      </c>
      <c r="B21" s="39" t="s">
        <v>547</v>
      </c>
      <c r="C21" s="39" t="s">
        <v>593</v>
      </c>
      <c r="D21" s="39" t="s">
        <v>502</v>
      </c>
      <c r="E21" s="37" t="s">
        <v>19</v>
      </c>
      <c r="F21" s="17"/>
      <c r="G21" s="39" t="s">
        <v>879</v>
      </c>
      <c r="H21" s="39" t="s">
        <v>187</v>
      </c>
      <c r="I21" s="39" t="s">
        <v>139</v>
      </c>
      <c r="J21" s="17"/>
      <c r="K21" s="17"/>
      <c r="L21" s="41" t="s">
        <v>467</v>
      </c>
      <c r="M21" s="17"/>
      <c r="N21" s="39" t="s">
        <v>239</v>
      </c>
      <c r="O21" s="39" t="s">
        <v>179</v>
      </c>
      <c r="P21" s="41" t="s">
        <v>353</v>
      </c>
      <c r="Q21" s="38" t="s">
        <v>380</v>
      </c>
      <c r="R21" s="17"/>
      <c r="S21" s="39"/>
      <c r="T21" s="39" t="s">
        <v>232</v>
      </c>
      <c r="U21" s="39" t="s">
        <v>164</v>
      </c>
      <c r="V21" s="39" t="s">
        <v>114</v>
      </c>
      <c r="W21" s="39" t="s">
        <v>253</v>
      </c>
    </row>
    <row r="22" spans="1:23" ht="26.25" hidden="1" customHeight="1">
      <c r="A22" s="41" t="s">
        <v>627</v>
      </c>
      <c r="B22" s="39" t="s">
        <v>549</v>
      </c>
      <c r="C22" s="41" t="s">
        <v>633</v>
      </c>
      <c r="D22" s="39" t="s">
        <v>509</v>
      </c>
      <c r="E22" s="37" t="s">
        <v>20</v>
      </c>
      <c r="F22" s="17"/>
      <c r="G22" s="39" t="s">
        <v>878</v>
      </c>
      <c r="H22" s="39" t="s">
        <v>186</v>
      </c>
      <c r="I22" s="39" t="s">
        <v>138</v>
      </c>
      <c r="J22" s="17"/>
      <c r="K22" s="17"/>
      <c r="L22" s="39" t="s">
        <v>324</v>
      </c>
      <c r="M22" s="46"/>
      <c r="N22" s="41" t="s">
        <v>238</v>
      </c>
      <c r="O22" s="39" t="s">
        <v>178</v>
      </c>
      <c r="P22" s="39" t="s">
        <v>352</v>
      </c>
      <c r="Q22" s="39" t="s">
        <v>381</v>
      </c>
      <c r="R22" s="17"/>
      <c r="S22" s="17"/>
      <c r="T22" s="39" t="s">
        <v>231</v>
      </c>
      <c r="U22" s="41" t="s">
        <v>167</v>
      </c>
      <c r="V22" s="39" t="s">
        <v>165</v>
      </c>
      <c r="W22" s="41" t="s">
        <v>252</v>
      </c>
    </row>
    <row r="23" spans="1:23" ht="26.25" hidden="1" customHeight="1">
      <c r="A23" s="39" t="s">
        <v>628</v>
      </c>
      <c r="B23" s="39" t="s">
        <v>548</v>
      </c>
      <c r="C23" s="39" t="s">
        <v>608</v>
      </c>
      <c r="D23" s="39" t="s">
        <v>510</v>
      </c>
      <c r="E23" s="37" t="s">
        <v>14</v>
      </c>
      <c r="F23" s="17"/>
      <c r="G23" s="39" t="s">
        <v>880</v>
      </c>
      <c r="H23" s="39" t="s">
        <v>185</v>
      </c>
      <c r="I23" s="39" t="s">
        <v>148</v>
      </c>
      <c r="J23" s="17"/>
      <c r="K23" s="17"/>
      <c r="L23" s="41" t="s">
        <v>325</v>
      </c>
      <c r="M23" s="46"/>
      <c r="N23" s="39" t="s">
        <v>240</v>
      </c>
      <c r="O23" s="39" t="s">
        <v>177</v>
      </c>
      <c r="P23" s="41" t="s">
        <v>343</v>
      </c>
      <c r="Q23" s="43"/>
      <c r="R23" s="17"/>
      <c r="S23" s="17"/>
      <c r="T23" s="41" t="s">
        <v>230</v>
      </c>
      <c r="U23" s="39" t="s">
        <v>169</v>
      </c>
      <c r="V23" s="39" t="s">
        <v>170</v>
      </c>
      <c r="W23" s="39" t="s">
        <v>251</v>
      </c>
    </row>
    <row r="24" spans="1:23" ht="26.25" hidden="1" customHeight="1">
      <c r="A24" s="39" t="s">
        <v>629</v>
      </c>
      <c r="B24" s="39" t="s">
        <v>550</v>
      </c>
      <c r="C24" s="39" t="s">
        <v>605</v>
      </c>
      <c r="D24" s="39" t="s">
        <v>514</v>
      </c>
      <c r="E24" s="37" t="s">
        <v>15</v>
      </c>
      <c r="F24" s="17"/>
      <c r="G24" s="41" t="s">
        <v>944</v>
      </c>
      <c r="H24" s="39" t="s">
        <v>183</v>
      </c>
      <c r="I24" s="39" t="s">
        <v>226</v>
      </c>
      <c r="J24" s="17"/>
      <c r="K24" s="17"/>
      <c r="L24" s="39" t="s">
        <v>326</v>
      </c>
      <c r="M24" s="46"/>
      <c r="N24" s="39" t="s">
        <v>241</v>
      </c>
      <c r="O24" s="39" t="s">
        <v>176</v>
      </c>
      <c r="P24" s="41" t="s">
        <v>382</v>
      </c>
      <c r="Q24" s="47"/>
      <c r="R24" s="17"/>
      <c r="S24" s="17"/>
      <c r="T24" s="39" t="s">
        <v>233</v>
      </c>
      <c r="U24" s="39" t="s">
        <v>188</v>
      </c>
      <c r="V24" s="39" t="s">
        <v>196</v>
      </c>
      <c r="W24" s="41" t="s">
        <v>260</v>
      </c>
    </row>
    <row r="25" spans="1:23" ht="26.25" hidden="1" customHeight="1">
      <c r="A25" s="39" t="s">
        <v>760</v>
      </c>
      <c r="B25" s="39" t="s">
        <v>593</v>
      </c>
      <c r="C25" s="39" t="s">
        <v>687</v>
      </c>
      <c r="D25" s="39" t="s">
        <v>513</v>
      </c>
      <c r="E25" s="37" t="s">
        <v>17</v>
      </c>
      <c r="F25" s="17"/>
      <c r="G25" s="39" t="s">
        <v>954</v>
      </c>
      <c r="H25" s="39" t="s">
        <v>184</v>
      </c>
      <c r="I25" s="39" t="s">
        <v>237</v>
      </c>
      <c r="J25" s="17"/>
      <c r="K25" s="17"/>
      <c r="L25" s="41" t="s">
        <v>349</v>
      </c>
      <c r="M25" s="17"/>
      <c r="N25" s="39" t="s">
        <v>262</v>
      </c>
      <c r="O25" s="39" t="s">
        <v>175</v>
      </c>
      <c r="P25" s="43"/>
      <c r="Q25" s="17"/>
      <c r="R25" s="17"/>
      <c r="S25" s="17"/>
      <c r="T25" s="39" t="s">
        <v>234</v>
      </c>
      <c r="U25" s="39" t="s">
        <v>235</v>
      </c>
      <c r="V25" s="39" t="s">
        <v>201</v>
      </c>
      <c r="W25" s="41" t="s">
        <v>272</v>
      </c>
    </row>
    <row r="26" spans="1:23" ht="26.25" hidden="1" customHeight="1">
      <c r="A26" s="39" t="s">
        <v>761</v>
      </c>
      <c r="B26" s="39" t="s">
        <v>648</v>
      </c>
      <c r="C26" s="39" t="s">
        <v>658</v>
      </c>
      <c r="D26" s="39" t="s">
        <v>519</v>
      </c>
      <c r="E26" s="38" t="s">
        <v>247</v>
      </c>
      <c r="F26" s="17"/>
      <c r="G26" s="39" t="s">
        <v>964</v>
      </c>
      <c r="H26" s="39" t="s">
        <v>217</v>
      </c>
      <c r="I26" s="39" t="s">
        <v>245</v>
      </c>
      <c r="J26" s="17"/>
      <c r="K26" s="17"/>
      <c r="L26" s="41" t="s">
        <v>350</v>
      </c>
      <c r="M26" s="46"/>
      <c r="N26" s="39" t="s">
        <v>261</v>
      </c>
      <c r="O26" s="39" t="s">
        <v>174</v>
      </c>
      <c r="P26" s="48"/>
      <c r="Q26" s="47"/>
      <c r="R26" s="17"/>
      <c r="S26" s="17"/>
      <c r="T26" s="39" t="s">
        <v>277</v>
      </c>
      <c r="U26" s="39" t="s">
        <v>257</v>
      </c>
      <c r="V26" s="39" t="s">
        <v>236</v>
      </c>
      <c r="W26" s="41" t="s">
        <v>271</v>
      </c>
    </row>
    <row r="27" spans="1:23" ht="26.25" hidden="1" customHeight="1">
      <c r="A27" s="39" t="s">
        <v>774</v>
      </c>
      <c r="B27" s="39" t="s">
        <v>647</v>
      </c>
      <c r="C27" s="39" t="s">
        <v>690</v>
      </c>
      <c r="D27" s="39" t="s">
        <v>520</v>
      </c>
      <c r="E27" s="43" t="s">
        <v>387</v>
      </c>
      <c r="F27" s="17"/>
      <c r="G27" s="39" t="s">
        <v>989</v>
      </c>
      <c r="H27" s="39" t="s">
        <v>216</v>
      </c>
      <c r="I27" s="39" t="s">
        <v>273</v>
      </c>
      <c r="J27" s="17"/>
      <c r="K27" s="17"/>
      <c r="L27" s="39" t="s">
        <v>351</v>
      </c>
      <c r="M27" s="17"/>
      <c r="N27" s="39" t="s">
        <v>265</v>
      </c>
      <c r="O27" s="41" t="s">
        <v>191</v>
      </c>
      <c r="P27" s="17"/>
      <c r="Q27" s="17"/>
      <c r="R27" s="17"/>
      <c r="S27" s="17"/>
      <c r="T27" s="39" t="s">
        <v>276</v>
      </c>
      <c r="U27" s="39" t="s">
        <v>259</v>
      </c>
      <c r="V27" s="41" t="s">
        <v>250</v>
      </c>
      <c r="W27" s="41" t="s">
        <v>279</v>
      </c>
    </row>
    <row r="28" spans="1:23" ht="26.25" hidden="1" customHeight="1">
      <c r="A28" s="39" t="s">
        <v>876</v>
      </c>
      <c r="B28" s="39" t="s">
        <v>659</v>
      </c>
      <c r="C28" s="39" t="s">
        <v>775</v>
      </c>
      <c r="D28" s="39" t="s">
        <v>526</v>
      </c>
      <c r="E28" s="39" t="s">
        <v>421</v>
      </c>
      <c r="F28" s="17"/>
      <c r="G28" s="39" t="s">
        <v>988</v>
      </c>
      <c r="H28" s="39" t="s">
        <v>215</v>
      </c>
      <c r="I28" s="39" t="s">
        <v>274</v>
      </c>
      <c r="J28" s="17"/>
      <c r="K28" s="17"/>
      <c r="L28" s="39" t="s">
        <v>363</v>
      </c>
      <c r="M28" s="46"/>
      <c r="N28" s="39" t="s">
        <v>263</v>
      </c>
      <c r="O28" s="39" t="s">
        <v>192</v>
      </c>
      <c r="P28" s="48"/>
      <c r="Q28" s="48"/>
      <c r="R28" s="48"/>
      <c r="S28" s="48"/>
      <c r="T28" s="39" t="s">
        <v>302</v>
      </c>
      <c r="U28" s="39" t="s">
        <v>267</v>
      </c>
      <c r="V28" s="41" t="s">
        <v>305</v>
      </c>
      <c r="W28" s="41" t="s">
        <v>283</v>
      </c>
    </row>
    <row r="29" spans="1:23" ht="26.25" hidden="1" customHeight="1">
      <c r="A29" s="39" t="s">
        <v>897</v>
      </c>
      <c r="B29" s="39" t="s">
        <v>652</v>
      </c>
      <c r="C29" s="39" t="s">
        <v>828</v>
      </c>
      <c r="D29" s="39" t="s">
        <v>555</v>
      </c>
      <c r="E29" s="39" t="s">
        <v>422</v>
      </c>
      <c r="F29" s="17"/>
      <c r="G29" s="39" t="s">
        <v>987</v>
      </c>
      <c r="H29" s="39" t="s">
        <v>214</v>
      </c>
      <c r="I29" s="39" t="s">
        <v>275</v>
      </c>
      <c r="J29" s="17"/>
      <c r="K29" s="17"/>
      <c r="L29" s="39" t="s">
        <v>364</v>
      </c>
      <c r="M29" s="46"/>
      <c r="N29" s="39" t="s">
        <v>264</v>
      </c>
      <c r="O29" s="39" t="s">
        <v>193</v>
      </c>
      <c r="P29" s="17"/>
      <c r="Q29" s="17"/>
      <c r="R29" s="17"/>
      <c r="S29" s="17"/>
      <c r="T29" s="39" t="s">
        <v>320</v>
      </c>
      <c r="U29" s="39" t="s">
        <v>304</v>
      </c>
      <c r="V29" s="39" t="s">
        <v>306</v>
      </c>
      <c r="W29" s="41" t="s">
        <v>282</v>
      </c>
    </row>
    <row r="30" spans="1:23" ht="26.25" hidden="1" customHeight="1">
      <c r="A30" s="39" t="s">
        <v>877</v>
      </c>
      <c r="B30" s="39" t="s">
        <v>653</v>
      </c>
      <c r="C30" s="39"/>
      <c r="D30" s="39" t="s">
        <v>551</v>
      </c>
      <c r="E30" s="39" t="s">
        <v>429</v>
      </c>
      <c r="F30" s="17"/>
      <c r="G30" s="39" t="s">
        <v>990</v>
      </c>
      <c r="H30" s="39" t="s">
        <v>213</v>
      </c>
      <c r="I30" s="44" t="s">
        <v>348</v>
      </c>
      <c r="J30" s="17"/>
      <c r="K30" s="17"/>
      <c r="L30" s="39" t="s">
        <v>365</v>
      </c>
      <c r="M30" s="17"/>
      <c r="N30" s="43" t="s">
        <v>313</v>
      </c>
      <c r="O30" s="39" t="s">
        <v>194</v>
      </c>
      <c r="P30" s="17"/>
      <c r="Q30" s="17"/>
      <c r="R30" s="17"/>
      <c r="S30" s="17"/>
      <c r="T30" s="39" t="s">
        <v>335</v>
      </c>
      <c r="U30" s="39" t="s">
        <v>303</v>
      </c>
      <c r="V30" s="39" t="s">
        <v>307</v>
      </c>
      <c r="W30" s="41" t="s">
        <v>281</v>
      </c>
    </row>
    <row r="31" spans="1:23" ht="26.25" hidden="1" customHeight="1">
      <c r="A31" s="39" t="s">
        <v>898</v>
      </c>
      <c r="B31" s="39" t="s">
        <v>793</v>
      </c>
      <c r="C31" s="17"/>
      <c r="D31" s="39" t="s">
        <v>558</v>
      </c>
      <c r="E31" s="41" t="s">
        <v>430</v>
      </c>
      <c r="F31" s="17"/>
      <c r="G31" s="39" t="s">
        <v>1018</v>
      </c>
      <c r="H31" s="39" t="s">
        <v>218</v>
      </c>
      <c r="I31" s="38" t="s">
        <v>389</v>
      </c>
      <c r="J31" s="17"/>
      <c r="K31" s="17"/>
      <c r="L31" s="39" t="s">
        <v>355</v>
      </c>
      <c r="M31" s="46"/>
      <c r="N31" s="38" t="s">
        <v>316</v>
      </c>
      <c r="O31" s="39" t="s">
        <v>195</v>
      </c>
      <c r="P31" s="17"/>
      <c r="Q31" s="17"/>
      <c r="R31" s="17"/>
      <c r="S31" s="17"/>
      <c r="T31" s="39" t="s">
        <v>336</v>
      </c>
      <c r="U31" s="39" t="s">
        <v>308</v>
      </c>
      <c r="V31" s="39" t="s">
        <v>322</v>
      </c>
      <c r="W31" s="41" t="s">
        <v>280</v>
      </c>
    </row>
    <row r="32" spans="1:23" ht="26.25" hidden="1" customHeight="1">
      <c r="A32" s="39" t="s">
        <v>929</v>
      </c>
      <c r="B32" s="39" t="s">
        <v>870</v>
      </c>
      <c r="C32" s="17"/>
      <c r="D32" s="39" t="s">
        <v>560</v>
      </c>
      <c r="E32" s="39" t="s">
        <v>437</v>
      </c>
      <c r="F32" s="17"/>
      <c r="G32" s="39" t="s">
        <v>1017</v>
      </c>
      <c r="H32" s="41" t="s">
        <v>224</v>
      </c>
      <c r="I32" s="38" t="s">
        <v>390</v>
      </c>
      <c r="J32" s="17"/>
      <c r="K32" s="17"/>
      <c r="L32" s="39" t="s">
        <v>356</v>
      </c>
      <c r="M32" s="17"/>
      <c r="N32" s="38" t="s">
        <v>318</v>
      </c>
      <c r="O32" s="39" t="s">
        <v>202</v>
      </c>
      <c r="P32" s="17"/>
      <c r="Q32" s="17"/>
      <c r="R32" s="17"/>
      <c r="S32" s="17"/>
      <c r="T32" s="39" t="s">
        <v>405</v>
      </c>
      <c r="U32" s="39" t="s">
        <v>323</v>
      </c>
      <c r="V32" s="39" t="s">
        <v>341</v>
      </c>
      <c r="W32" s="41" t="s">
        <v>284</v>
      </c>
    </row>
    <row r="33" spans="1:23" ht="26.25" hidden="1" customHeight="1">
      <c r="A33" s="39" t="s">
        <v>985</v>
      </c>
      <c r="B33" s="39" t="s">
        <v>871</v>
      </c>
      <c r="C33" s="17"/>
      <c r="D33" s="39" t="s">
        <v>561</v>
      </c>
      <c r="E33" s="39" t="s">
        <v>438</v>
      </c>
      <c r="F33" s="17"/>
      <c r="G33" s="39"/>
      <c r="H33" s="39" t="s">
        <v>225</v>
      </c>
      <c r="I33" s="43" t="s">
        <v>567</v>
      </c>
      <c r="J33" s="17"/>
      <c r="K33" s="17"/>
      <c r="L33" s="39" t="s">
        <v>366</v>
      </c>
      <c r="M33" s="17"/>
      <c r="N33" s="41" t="s">
        <v>317</v>
      </c>
      <c r="O33" s="39" t="s">
        <v>211</v>
      </c>
      <c r="P33" s="17"/>
      <c r="Q33" s="17"/>
      <c r="R33" s="17"/>
      <c r="S33" s="17"/>
      <c r="T33" s="39" t="s">
        <v>406</v>
      </c>
      <c r="U33" s="39" t="s">
        <v>344</v>
      </c>
      <c r="V33" s="39" t="s">
        <v>337</v>
      </c>
      <c r="W33" s="41" t="s">
        <v>285</v>
      </c>
    </row>
    <row r="34" spans="1:23" ht="26.25" hidden="1" customHeight="1">
      <c r="A34" s="39" t="s">
        <v>1023</v>
      </c>
      <c r="B34" s="39" t="s">
        <v>872</v>
      </c>
      <c r="C34" s="46"/>
      <c r="D34" s="39" t="s">
        <v>585</v>
      </c>
      <c r="E34" s="39" t="s">
        <v>436</v>
      </c>
      <c r="F34" s="17"/>
      <c r="G34" s="17"/>
      <c r="H34" s="39" t="s">
        <v>243</v>
      </c>
      <c r="I34" s="41" t="s">
        <v>759</v>
      </c>
      <c r="J34" s="17"/>
      <c r="K34" s="17"/>
      <c r="L34" s="39" t="s">
        <v>367</v>
      </c>
      <c r="M34" s="17"/>
      <c r="N34" s="41" t="s">
        <v>383</v>
      </c>
      <c r="O34" s="41" t="s">
        <v>220</v>
      </c>
      <c r="P34" s="17"/>
      <c r="Q34" s="17"/>
      <c r="R34" s="17"/>
      <c r="S34" s="17"/>
      <c r="T34" s="39" t="s">
        <v>449</v>
      </c>
      <c r="U34" s="39" t="s">
        <v>384</v>
      </c>
      <c r="V34" s="39" t="s">
        <v>368</v>
      </c>
      <c r="W34" s="41" t="s">
        <v>309</v>
      </c>
    </row>
    <row r="35" spans="1:23" ht="26.25" hidden="1" customHeight="1">
      <c r="A35" s="39" t="s">
        <v>1022</v>
      </c>
      <c r="B35" s="39" t="s">
        <v>907</v>
      </c>
      <c r="C35" s="17"/>
      <c r="D35" s="39" t="s">
        <v>584</v>
      </c>
      <c r="E35" s="41">
        <v>445857</v>
      </c>
      <c r="F35" s="17"/>
      <c r="G35" s="17"/>
      <c r="H35" s="39" t="s">
        <v>244</v>
      </c>
      <c r="I35" s="39" t="s">
        <v>862</v>
      </c>
      <c r="J35" s="17"/>
      <c r="K35" s="17"/>
      <c r="L35" s="39" t="s">
        <v>374</v>
      </c>
      <c r="M35" s="17"/>
      <c r="N35" s="38" t="s">
        <v>504</v>
      </c>
      <c r="O35" s="39" t="s">
        <v>210</v>
      </c>
      <c r="P35" s="17"/>
      <c r="Q35" s="17"/>
      <c r="R35" s="17"/>
      <c r="S35" s="17"/>
      <c r="T35" s="39" t="s">
        <v>472</v>
      </c>
      <c r="U35" s="39" t="s">
        <v>388</v>
      </c>
      <c r="V35" s="39" t="s">
        <v>375</v>
      </c>
      <c r="W35" s="41" t="s">
        <v>333</v>
      </c>
    </row>
    <row r="36" spans="1:23" ht="26.25" hidden="1" customHeight="1">
      <c r="A36" s="39" t="s">
        <v>1024</v>
      </c>
      <c r="B36" s="39" t="s">
        <v>986</v>
      </c>
      <c r="C36" s="17"/>
      <c r="D36" s="39" t="s">
        <v>586</v>
      </c>
      <c r="E36" s="41" t="s">
        <v>443</v>
      </c>
      <c r="F36" s="17"/>
      <c r="G36" s="17"/>
      <c r="H36" s="38" t="s">
        <v>385</v>
      </c>
      <c r="I36" s="39" t="s">
        <v>1061</v>
      </c>
      <c r="J36" s="17"/>
      <c r="K36" s="17"/>
      <c r="L36" s="41" t="s">
        <v>377</v>
      </c>
      <c r="M36" s="17"/>
      <c r="N36" s="39" t="s">
        <v>508</v>
      </c>
      <c r="O36" s="41" t="s">
        <v>209</v>
      </c>
      <c r="P36" s="17"/>
      <c r="Q36" s="17"/>
      <c r="R36" s="17"/>
      <c r="S36" s="17"/>
      <c r="T36" s="39" t="s">
        <v>516</v>
      </c>
      <c r="U36" s="39" t="s">
        <v>541</v>
      </c>
      <c r="V36" s="39" t="s">
        <v>416</v>
      </c>
      <c r="W36" s="41" t="s">
        <v>332</v>
      </c>
    </row>
    <row r="37" spans="1:23" ht="26.25" hidden="1" customHeight="1">
      <c r="A37" s="39" t="s">
        <v>1051</v>
      </c>
      <c r="B37" s="39"/>
      <c r="C37" s="17"/>
      <c r="D37" s="39" t="s">
        <v>587</v>
      </c>
      <c r="E37" s="39" t="s">
        <v>447</v>
      </c>
      <c r="F37" s="17"/>
      <c r="G37" s="17"/>
      <c r="H37" s="39" t="s">
        <v>410</v>
      </c>
      <c r="I37" s="17"/>
      <c r="J37" s="17"/>
      <c r="K37" s="17"/>
      <c r="L37" s="41" t="s">
        <v>378</v>
      </c>
      <c r="M37" s="17"/>
      <c r="N37" s="39" t="s">
        <v>524</v>
      </c>
      <c r="O37" s="41" t="s">
        <v>212</v>
      </c>
      <c r="P37" s="17"/>
      <c r="Q37" s="17"/>
      <c r="R37" s="17"/>
      <c r="S37" s="17"/>
      <c r="T37" s="39" t="s">
        <v>540</v>
      </c>
      <c r="U37" s="39" t="s">
        <v>557</v>
      </c>
      <c r="V37" s="39" t="s">
        <v>424</v>
      </c>
      <c r="W37" s="41" t="s">
        <v>342</v>
      </c>
    </row>
    <row r="38" spans="1:23" ht="26.25" hidden="1" customHeight="1">
      <c r="A38" s="39"/>
      <c r="B38" s="17"/>
      <c r="C38" s="17"/>
      <c r="D38" s="39" t="s">
        <v>591</v>
      </c>
      <c r="E38" s="39" t="s">
        <v>444</v>
      </c>
      <c r="F38" s="17" t="e">
        <f>(E38-D38)*(B34/10000)*132</f>
        <v>#VALUE!</v>
      </c>
      <c r="G38" s="17"/>
      <c r="H38" s="39" t="s">
        <v>409</v>
      </c>
      <c r="I38" s="17"/>
      <c r="J38" s="17"/>
      <c r="K38" s="17"/>
      <c r="L38" s="41" t="s">
        <v>460</v>
      </c>
      <c r="M38" s="17"/>
      <c r="N38" s="39" t="s">
        <v>527</v>
      </c>
      <c r="O38" s="43" t="s">
        <v>270</v>
      </c>
      <c r="P38" s="17"/>
      <c r="Q38" s="17"/>
      <c r="R38" s="17"/>
      <c r="S38" s="17"/>
      <c r="T38" s="39" t="s">
        <v>573</v>
      </c>
      <c r="U38" s="39" t="s">
        <v>583</v>
      </c>
      <c r="V38" s="39" t="s">
        <v>611</v>
      </c>
      <c r="W38" s="41" t="s">
        <v>334</v>
      </c>
    </row>
    <row r="39" spans="1:23" ht="26.25" hidden="1" customHeight="1">
      <c r="A39" s="17"/>
      <c r="B39" s="17"/>
      <c r="C39" s="17"/>
      <c r="D39" s="39" t="s">
        <v>595</v>
      </c>
      <c r="E39" s="39" t="s">
        <v>448</v>
      </c>
      <c r="F39" s="17"/>
      <c r="G39" s="17"/>
      <c r="H39" s="38" t="s">
        <v>407</v>
      </c>
      <c r="I39" s="17"/>
      <c r="J39" s="17"/>
      <c r="K39" s="17"/>
      <c r="L39" s="45" t="s">
        <v>569</v>
      </c>
      <c r="M39" s="17"/>
      <c r="N39" s="39" t="s">
        <v>581</v>
      </c>
      <c r="O39" s="41" t="s">
        <v>383</v>
      </c>
      <c r="P39" s="17"/>
      <c r="Q39" s="17"/>
      <c r="R39" s="17"/>
      <c r="S39" s="17"/>
      <c r="T39" s="39" t="s">
        <v>572</v>
      </c>
      <c r="U39" s="39" t="s">
        <v>610</v>
      </c>
      <c r="V39" s="39" t="s">
        <v>609</v>
      </c>
      <c r="W39" s="41" t="s">
        <v>362</v>
      </c>
    </row>
    <row r="40" spans="1:23" ht="26.25" hidden="1" customHeight="1">
      <c r="A40" s="17"/>
      <c r="B40" s="17"/>
      <c r="C40" s="17"/>
      <c r="D40" s="41" t="s">
        <v>596</v>
      </c>
      <c r="E40" s="39" t="s">
        <v>456</v>
      </c>
      <c r="F40" s="17"/>
      <c r="G40" s="17"/>
      <c r="H40" s="43" t="s">
        <v>408</v>
      </c>
      <c r="I40" s="17"/>
      <c r="J40" s="17"/>
      <c r="K40" s="17"/>
      <c r="L40" s="39" t="s">
        <v>568</v>
      </c>
      <c r="M40" s="17"/>
      <c r="N40" s="39" t="s">
        <v>578</v>
      </c>
      <c r="O40" s="39" t="s">
        <v>531</v>
      </c>
      <c r="P40" s="17"/>
      <c r="Q40" s="17"/>
      <c r="R40" s="17"/>
      <c r="S40" s="17"/>
      <c r="T40" s="39" t="s">
        <v>571</v>
      </c>
      <c r="U40" s="39" t="s">
        <v>614</v>
      </c>
      <c r="V40" s="39" t="s">
        <v>644</v>
      </c>
      <c r="W40" s="41" t="s">
        <v>414</v>
      </c>
    </row>
    <row r="41" spans="1:23" ht="26.25" hidden="1" customHeight="1">
      <c r="A41" s="17"/>
      <c r="B41" s="17"/>
      <c r="C41" s="17"/>
      <c r="D41" s="39" t="s">
        <v>601</v>
      </c>
      <c r="E41" s="39" t="s">
        <v>457</v>
      </c>
      <c r="F41" s="17"/>
      <c r="G41" s="17"/>
      <c r="H41" s="39" t="s">
        <v>417</v>
      </c>
      <c r="I41" s="17"/>
      <c r="J41" s="17"/>
      <c r="K41" s="17"/>
      <c r="L41" s="39" t="s">
        <v>1036</v>
      </c>
      <c r="M41" s="17"/>
      <c r="N41" s="39" t="s">
        <v>580</v>
      </c>
      <c r="O41" s="39" t="s">
        <v>530</v>
      </c>
      <c r="P41" s="17"/>
      <c r="Q41" s="17"/>
      <c r="R41" s="17"/>
      <c r="S41" s="17"/>
      <c r="T41" s="41" t="s">
        <v>574</v>
      </c>
      <c r="U41" s="39" t="s">
        <v>615</v>
      </c>
      <c r="V41" s="39" t="s">
        <v>645</v>
      </c>
      <c r="W41" s="39" t="s">
        <v>413</v>
      </c>
    </row>
    <row r="42" spans="1:23" ht="26.25" hidden="1" customHeight="1">
      <c r="A42" s="17"/>
      <c r="B42" s="17"/>
      <c r="C42" s="17"/>
      <c r="D42" s="39" t="s">
        <v>634</v>
      </c>
      <c r="E42" s="39" t="s">
        <v>554</v>
      </c>
      <c r="F42" s="17"/>
      <c r="G42" s="17"/>
      <c r="H42" s="39" t="s">
        <v>418</v>
      </c>
      <c r="I42" s="17"/>
      <c r="J42" s="17"/>
      <c r="K42" s="17"/>
      <c r="L42" s="39" t="s">
        <v>1037</v>
      </c>
      <c r="M42" s="17"/>
      <c r="N42" s="39" t="s">
        <v>579</v>
      </c>
      <c r="O42" s="39" t="s">
        <v>539</v>
      </c>
      <c r="P42" s="17"/>
      <c r="Q42" s="17"/>
      <c r="R42" s="17"/>
      <c r="S42" s="17"/>
      <c r="T42" s="39" t="s">
        <v>599</v>
      </c>
      <c r="U42" s="39" t="s">
        <v>640</v>
      </c>
      <c r="V42" s="39" t="s">
        <v>646</v>
      </c>
      <c r="W42" s="41" t="s">
        <v>412</v>
      </c>
    </row>
    <row r="43" spans="1:23" ht="26.25" hidden="1" customHeight="1">
      <c r="A43" s="17"/>
      <c r="B43" s="17"/>
      <c r="C43" s="17"/>
      <c r="D43" s="39" t="s">
        <v>635</v>
      </c>
      <c r="E43" s="39"/>
      <c r="F43" s="17"/>
      <c r="G43" s="17"/>
      <c r="H43" s="41" t="s">
        <v>423</v>
      </c>
      <c r="I43" s="17"/>
      <c r="J43" s="17"/>
      <c r="K43" s="17"/>
      <c r="L43" s="39" t="s">
        <v>1081</v>
      </c>
      <c r="M43" s="17"/>
      <c r="N43" s="39" t="s">
        <v>568</v>
      </c>
      <c r="O43" s="39" t="s">
        <v>543</v>
      </c>
      <c r="P43" s="17"/>
      <c r="Q43" s="17"/>
      <c r="R43" s="17"/>
      <c r="S43" s="17"/>
      <c r="T43" s="39" t="s">
        <v>616</v>
      </c>
      <c r="U43" s="39" t="s">
        <v>641</v>
      </c>
      <c r="V43" s="39" t="s">
        <v>691</v>
      </c>
      <c r="W43" s="41" t="s">
        <v>446</v>
      </c>
    </row>
    <row r="44" spans="1:23" ht="26.25" hidden="1" customHeight="1">
      <c r="A44" s="17"/>
      <c r="B44" s="17"/>
      <c r="C44" s="17"/>
      <c r="D44" s="41" t="s">
        <v>636</v>
      </c>
      <c r="E44" s="17"/>
      <c r="F44" s="17"/>
      <c r="G44" s="17"/>
      <c r="H44" s="41" t="s">
        <v>440</v>
      </c>
      <c r="I44" s="17"/>
      <c r="J44" s="17"/>
      <c r="K44" s="17"/>
      <c r="L44" s="39" t="s">
        <v>1104</v>
      </c>
      <c r="M44" s="17"/>
      <c r="N44" s="39" t="s">
        <v>1025</v>
      </c>
      <c r="O44" s="39" t="s">
        <v>544</v>
      </c>
      <c r="P44" s="17"/>
      <c r="Q44" s="17"/>
      <c r="R44" s="17"/>
      <c r="S44" s="17"/>
      <c r="T44" s="39" t="s">
        <v>638</v>
      </c>
      <c r="U44" s="41" t="s">
        <v>642</v>
      </c>
      <c r="V44" s="39" t="s">
        <v>869</v>
      </c>
      <c r="W44" s="41" t="s">
        <v>453</v>
      </c>
    </row>
    <row r="45" spans="1:23" ht="26.25" hidden="1" customHeight="1">
      <c r="A45" s="17"/>
      <c r="B45" s="17"/>
      <c r="C45" s="17"/>
      <c r="D45" s="39"/>
      <c r="E45" s="17"/>
      <c r="F45" s="17"/>
      <c r="G45" s="17"/>
      <c r="H45" s="41" t="s">
        <v>441</v>
      </c>
      <c r="I45" s="17"/>
      <c r="J45" s="17"/>
      <c r="K45" s="17"/>
      <c r="L45" s="39"/>
      <c r="M45" s="17"/>
      <c r="N45" s="39"/>
      <c r="O45" s="39" t="s">
        <v>545</v>
      </c>
      <c r="P45" s="17"/>
      <c r="Q45" s="17"/>
      <c r="R45" s="17"/>
      <c r="S45" s="17"/>
      <c r="T45" s="39" t="s">
        <v>639</v>
      </c>
      <c r="U45" s="39" t="s">
        <v>643</v>
      </c>
      <c r="V45" s="39" t="s">
        <v>909</v>
      </c>
      <c r="W45" s="41" t="s">
        <v>454</v>
      </c>
    </row>
    <row r="46" spans="1:23" ht="26.25" hidden="1" customHeight="1">
      <c r="A46" s="17"/>
      <c r="B46" s="17"/>
      <c r="C46" s="17"/>
      <c r="D46" s="17"/>
      <c r="E46" s="17"/>
      <c r="F46" s="17"/>
      <c r="G46" s="17"/>
      <c r="H46" s="39" t="s">
        <v>442</v>
      </c>
      <c r="I46" s="17"/>
      <c r="J46" s="17"/>
      <c r="K46" s="17"/>
      <c r="L46" s="17"/>
      <c r="M46" s="17"/>
      <c r="N46" s="17"/>
      <c r="O46" s="39" t="s">
        <v>881</v>
      </c>
      <c r="P46" s="17"/>
      <c r="Q46" s="17"/>
      <c r="R46" s="17"/>
      <c r="S46" s="17"/>
      <c r="T46" s="39" t="s">
        <v>649</v>
      </c>
      <c r="U46" s="39" t="s">
        <v>778</v>
      </c>
      <c r="V46" s="39" t="s">
        <v>926</v>
      </c>
      <c r="W46" s="41" t="s">
        <v>465</v>
      </c>
    </row>
    <row r="47" spans="1:23" ht="26.25" hidden="1" customHeight="1">
      <c r="A47" s="17"/>
      <c r="B47" s="17"/>
      <c r="C47" s="17"/>
      <c r="D47" s="17"/>
      <c r="E47" s="46"/>
      <c r="F47" s="17"/>
      <c r="G47" s="17"/>
      <c r="H47" s="41" t="s">
        <v>445</v>
      </c>
      <c r="I47" s="17"/>
      <c r="J47" s="17"/>
      <c r="K47" s="17"/>
      <c r="L47" s="17"/>
      <c r="M47" s="17"/>
      <c r="N47" s="17"/>
      <c r="O47" s="39" t="s">
        <v>951</v>
      </c>
      <c r="P47" s="17"/>
      <c r="Q47" s="17"/>
      <c r="R47" s="17"/>
      <c r="S47" s="17"/>
      <c r="T47" s="39" t="s">
        <v>758</v>
      </c>
      <c r="U47" s="39" t="s">
        <v>777</v>
      </c>
      <c r="V47" s="39" t="s">
        <v>931</v>
      </c>
      <c r="W47" s="41" t="s">
        <v>455</v>
      </c>
    </row>
    <row r="48" spans="1:23" ht="26.25" hidden="1" customHeight="1">
      <c r="A48" s="17"/>
      <c r="B48" s="17"/>
      <c r="C48" s="17"/>
      <c r="D48" s="17"/>
      <c r="E48" s="17"/>
      <c r="F48" s="17"/>
      <c r="G48" s="17"/>
      <c r="H48" s="41" t="s">
        <v>481</v>
      </c>
      <c r="I48" s="17"/>
      <c r="J48" s="17"/>
      <c r="K48" s="17"/>
      <c r="L48" s="17"/>
      <c r="M48" s="17"/>
      <c r="N48" s="17"/>
      <c r="O48" s="39" t="s">
        <v>992</v>
      </c>
      <c r="P48" s="17"/>
      <c r="Q48" s="17"/>
      <c r="R48" s="17"/>
      <c r="S48" s="17"/>
      <c r="T48" s="39" t="s">
        <v>650</v>
      </c>
      <c r="U48" s="39" t="s">
        <v>794</v>
      </c>
      <c r="V48" s="39" t="s">
        <v>927</v>
      </c>
      <c r="W48" s="39" t="s">
        <v>464</v>
      </c>
    </row>
    <row r="49" spans="1:23" ht="26.25" hidden="1" customHeight="1">
      <c r="A49" s="17"/>
      <c r="B49" s="17"/>
      <c r="C49" s="17"/>
      <c r="D49" s="46"/>
      <c r="E49" s="17"/>
      <c r="F49" s="17"/>
      <c r="G49" s="17"/>
      <c r="H49" s="41" t="s">
        <v>480</v>
      </c>
      <c r="I49" s="17"/>
      <c r="J49" s="17"/>
      <c r="K49" s="17"/>
      <c r="L49" s="17"/>
      <c r="M49" s="17"/>
      <c r="N49" s="17"/>
      <c r="O49" s="39" t="s">
        <v>991</v>
      </c>
      <c r="P49" s="17"/>
      <c r="Q49" s="17"/>
      <c r="R49" s="17"/>
      <c r="S49" s="17"/>
      <c r="T49" s="39" t="s">
        <v>651</v>
      </c>
      <c r="U49" s="39" t="s">
        <v>842</v>
      </c>
      <c r="V49" s="39" t="s">
        <v>1003</v>
      </c>
      <c r="W49" s="41" t="s">
        <v>469</v>
      </c>
    </row>
    <row r="50" spans="1:23" ht="26.25" hidden="1" customHeight="1">
      <c r="A50" s="17"/>
      <c r="B50" s="17"/>
      <c r="C50" s="17"/>
      <c r="D50" s="17"/>
      <c r="E50" s="17"/>
      <c r="F50" s="17"/>
      <c r="G50" s="17"/>
      <c r="H50" s="41" t="s">
        <v>482</v>
      </c>
      <c r="I50" s="17"/>
      <c r="J50" s="17"/>
      <c r="K50" s="17"/>
      <c r="L50" s="17"/>
      <c r="M50" s="17"/>
      <c r="N50" s="17"/>
      <c r="O50" s="39"/>
      <c r="P50" s="17"/>
      <c r="Q50" s="17"/>
      <c r="R50" s="17"/>
      <c r="S50" s="17"/>
      <c r="T50" s="39" t="s">
        <v>692</v>
      </c>
      <c r="U50" s="39" t="s">
        <v>799</v>
      </c>
      <c r="V50" s="39" t="s">
        <v>1002</v>
      </c>
      <c r="W50" s="41" t="s">
        <v>468</v>
      </c>
    </row>
    <row r="51" spans="1:23" ht="26.25" hidden="1" customHeight="1">
      <c r="A51" s="17"/>
      <c r="B51" s="17"/>
      <c r="C51" s="17"/>
      <c r="D51" s="17"/>
      <c r="E51" s="17"/>
      <c r="F51" s="17"/>
      <c r="G51" s="17"/>
      <c r="H51" s="41" t="s">
        <v>494</v>
      </c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39" t="s">
        <v>776</v>
      </c>
      <c r="U51" s="39" t="s">
        <v>800</v>
      </c>
      <c r="V51" s="39" t="s">
        <v>1001</v>
      </c>
      <c r="W51" s="41" t="s">
        <v>478</v>
      </c>
    </row>
    <row r="52" spans="1:23" ht="26.25" hidden="1" customHeight="1">
      <c r="A52" s="17"/>
      <c r="B52" s="17"/>
      <c r="C52" s="17"/>
      <c r="D52" s="17"/>
      <c r="E52" s="46"/>
      <c r="F52" s="17"/>
      <c r="G52" s="17"/>
      <c r="H52" s="41" t="s">
        <v>495</v>
      </c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39" t="s">
        <v>787</v>
      </c>
      <c r="U52" s="39" t="s">
        <v>886</v>
      </c>
      <c r="V52" s="39" t="s">
        <v>1000</v>
      </c>
      <c r="W52" s="39" t="s">
        <v>477</v>
      </c>
    </row>
    <row r="53" spans="1:23" ht="26.25" hidden="1" customHeight="1">
      <c r="A53" s="17"/>
      <c r="B53" s="17"/>
      <c r="C53" s="17"/>
      <c r="D53" s="17"/>
      <c r="E53" s="17"/>
      <c r="F53" s="17"/>
      <c r="G53" s="17"/>
      <c r="H53" s="39" t="s">
        <v>484</v>
      </c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41" t="s">
        <v>788</v>
      </c>
      <c r="U53" s="39" t="s">
        <v>885</v>
      </c>
      <c r="V53" s="39" t="s">
        <v>1035</v>
      </c>
      <c r="W53" s="41" t="s">
        <v>476</v>
      </c>
    </row>
    <row r="54" spans="1:23" ht="26.25" hidden="1" customHeight="1">
      <c r="A54" s="17"/>
      <c r="B54" s="17"/>
      <c r="C54" s="17"/>
      <c r="D54" s="17"/>
      <c r="E54" s="17"/>
      <c r="F54" s="17"/>
      <c r="G54" s="17"/>
      <c r="H54" s="39" t="s">
        <v>523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39" t="s">
        <v>817</v>
      </c>
      <c r="U54" s="39" t="s">
        <v>884</v>
      </c>
      <c r="V54" s="39"/>
      <c r="W54" s="41" t="s">
        <v>479</v>
      </c>
    </row>
    <row r="55" spans="1:23" ht="26.25" hidden="1" customHeight="1">
      <c r="A55" s="17"/>
      <c r="B55" s="17"/>
      <c r="C55" s="17"/>
      <c r="D55" s="17"/>
      <c r="E55" s="17"/>
      <c r="F55" s="17"/>
      <c r="G55" s="17"/>
      <c r="H55" s="39" t="s">
        <v>533</v>
      </c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41" t="s">
        <v>818</v>
      </c>
      <c r="U55" s="39" t="s">
        <v>883</v>
      </c>
      <c r="V55" s="17"/>
      <c r="W55" s="41" t="s">
        <v>489</v>
      </c>
    </row>
    <row r="56" spans="1:23" ht="26.25" hidden="1" customHeight="1">
      <c r="A56" s="17"/>
      <c r="B56" s="17"/>
      <c r="C56" s="17"/>
      <c r="D56" s="17"/>
      <c r="E56" s="17"/>
      <c r="F56" s="17"/>
      <c r="G56" s="17"/>
      <c r="H56" s="41" t="s">
        <v>537</v>
      </c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39" t="s">
        <v>819</v>
      </c>
      <c r="U56" s="39" t="s">
        <v>887</v>
      </c>
      <c r="V56" s="17"/>
      <c r="W56" s="41" t="s">
        <v>490</v>
      </c>
    </row>
    <row r="57" spans="1:23" ht="26.25" hidden="1" customHeight="1">
      <c r="A57" s="17"/>
      <c r="B57" s="17"/>
      <c r="C57" s="17"/>
      <c r="D57" s="17"/>
      <c r="E57" s="17"/>
      <c r="F57" s="17"/>
      <c r="G57" s="17"/>
      <c r="H57" s="39" t="s">
        <v>538</v>
      </c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39" t="s">
        <v>820</v>
      </c>
      <c r="U57" s="39" t="s">
        <v>911</v>
      </c>
      <c r="V57" s="17"/>
      <c r="W57" s="39" t="s">
        <v>483</v>
      </c>
    </row>
    <row r="58" spans="1:23" ht="26.25" hidden="1" customHeight="1">
      <c r="A58" s="17"/>
      <c r="B58" s="17"/>
      <c r="C58" s="17"/>
      <c r="D58" s="17"/>
      <c r="E58" s="17"/>
      <c r="F58" s="17"/>
      <c r="G58" s="17"/>
      <c r="H58" s="39" t="s">
        <v>566</v>
      </c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39" t="s">
        <v>938</v>
      </c>
      <c r="U58" s="39" t="s">
        <v>910</v>
      </c>
      <c r="V58" s="17"/>
      <c r="W58" s="39" t="s">
        <v>492</v>
      </c>
    </row>
    <row r="59" spans="1:23" ht="26.25" hidden="1" customHeight="1">
      <c r="A59" s="17"/>
      <c r="B59" s="17"/>
      <c r="C59" s="17"/>
      <c r="D59" s="17"/>
      <c r="E59" s="17"/>
      <c r="F59" s="17"/>
      <c r="G59" s="17"/>
      <c r="H59" s="39" t="s">
        <v>565</v>
      </c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39" t="s">
        <v>996</v>
      </c>
      <c r="U59" s="39" t="s">
        <v>928</v>
      </c>
      <c r="V59" s="17"/>
      <c r="W59" s="39" t="s">
        <v>493</v>
      </c>
    </row>
    <row r="60" spans="1:23" ht="26.25" hidden="1" customHeight="1">
      <c r="A60" s="17"/>
      <c r="B60" s="17"/>
      <c r="C60" s="17"/>
      <c r="D60" s="17"/>
      <c r="E60" s="17"/>
      <c r="F60" s="17"/>
      <c r="G60" s="17"/>
      <c r="H60" s="39" t="s">
        <v>564</v>
      </c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41" t="s">
        <v>995</v>
      </c>
      <c r="U60" s="39" t="s">
        <v>940</v>
      </c>
      <c r="V60" s="17"/>
      <c r="W60" s="39" t="s">
        <v>498</v>
      </c>
    </row>
    <row r="61" spans="1:23" ht="26.25" hidden="1" customHeight="1">
      <c r="A61" s="17"/>
      <c r="B61" s="17"/>
      <c r="C61" s="17"/>
      <c r="D61" s="17"/>
      <c r="E61" s="17"/>
      <c r="F61" s="17"/>
      <c r="G61" s="17"/>
      <c r="H61" s="39" t="s">
        <v>563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39" t="s">
        <v>994</v>
      </c>
      <c r="U61" s="39" t="s">
        <v>939</v>
      </c>
      <c r="V61" s="17"/>
      <c r="W61" s="41" t="s">
        <v>505</v>
      </c>
    </row>
    <row r="62" spans="1:23" ht="26.25" hidden="1" customHeight="1">
      <c r="A62" s="17"/>
      <c r="B62" s="17"/>
      <c r="C62" s="17"/>
      <c r="D62" s="17"/>
      <c r="E62" s="17"/>
      <c r="F62" s="17"/>
      <c r="G62" s="17"/>
      <c r="H62" s="39" t="s">
        <v>562</v>
      </c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39" t="s">
        <v>993</v>
      </c>
      <c r="U62" s="39" t="s">
        <v>942</v>
      </c>
      <c r="V62" s="17"/>
      <c r="W62" s="41" t="s">
        <v>506</v>
      </c>
    </row>
    <row r="63" spans="1:23" ht="26.25" hidden="1" customHeight="1">
      <c r="A63" s="17"/>
      <c r="B63" s="17"/>
      <c r="C63" s="17"/>
      <c r="D63" s="17"/>
      <c r="E63" s="17"/>
      <c r="F63" s="17"/>
      <c r="G63" s="17"/>
      <c r="H63" s="39" t="s">
        <v>588</v>
      </c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39" t="s">
        <v>1021</v>
      </c>
      <c r="U63" s="39" t="s">
        <v>941</v>
      </c>
      <c r="V63" s="17"/>
      <c r="W63" s="41" t="s">
        <v>507</v>
      </c>
    </row>
    <row r="64" spans="1:23" ht="26.25" hidden="1" customHeight="1">
      <c r="A64" s="17"/>
      <c r="B64" s="17"/>
      <c r="C64" s="17"/>
      <c r="D64" s="17"/>
      <c r="E64" s="17"/>
      <c r="F64" s="17"/>
      <c r="G64" s="17"/>
      <c r="H64" s="39" t="s">
        <v>592</v>
      </c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39" t="s">
        <v>1054</v>
      </c>
      <c r="U64" s="39" t="s">
        <v>998</v>
      </c>
      <c r="V64" s="17"/>
      <c r="W64" s="39" t="s">
        <v>517</v>
      </c>
    </row>
    <row r="65" spans="1:23" ht="26.25" hidden="1" customHeight="1">
      <c r="A65" s="17"/>
      <c r="B65" s="17"/>
      <c r="C65" s="17"/>
      <c r="D65" s="17"/>
      <c r="E65" s="17"/>
      <c r="F65" s="17"/>
      <c r="G65" s="17"/>
      <c r="H65" s="39" t="s">
        <v>600</v>
      </c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39"/>
      <c r="U65" s="39" t="s">
        <v>997</v>
      </c>
      <c r="V65" s="17"/>
      <c r="W65" s="41" t="s">
        <v>518</v>
      </c>
    </row>
    <row r="66" spans="1:23" ht="26.25" hidden="1" customHeight="1">
      <c r="A66" s="17"/>
      <c r="B66" s="17"/>
      <c r="C66" s="17"/>
      <c r="D66" s="17"/>
      <c r="E66" s="17"/>
      <c r="F66" s="17"/>
      <c r="G66" s="17"/>
      <c r="H66" s="39" t="s">
        <v>603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39" t="s">
        <v>999</v>
      </c>
      <c r="V66" s="17"/>
      <c r="W66" s="41" t="s">
        <v>522</v>
      </c>
    </row>
    <row r="67" spans="1:23" ht="26.25" hidden="1" customHeight="1">
      <c r="A67" s="17"/>
      <c r="B67" s="17"/>
      <c r="C67" s="17"/>
      <c r="D67" s="17"/>
      <c r="E67" s="17"/>
      <c r="F67" s="17"/>
      <c r="G67" s="17"/>
      <c r="H67" s="39" t="s">
        <v>604</v>
      </c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39" t="s">
        <v>1019</v>
      </c>
      <c r="V67" s="17"/>
      <c r="W67" s="41" t="s">
        <v>553</v>
      </c>
    </row>
    <row r="68" spans="1:23" ht="26.25" hidden="1" customHeight="1">
      <c r="A68" s="17"/>
      <c r="B68" s="17"/>
      <c r="C68" s="17"/>
      <c r="D68" s="17"/>
      <c r="E68" s="17"/>
      <c r="F68" s="17"/>
      <c r="G68" s="17"/>
      <c r="H68" s="41" t="s">
        <v>612</v>
      </c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39" t="s">
        <v>1020</v>
      </c>
      <c r="V68" s="17"/>
      <c r="W68" s="39" t="s">
        <v>552</v>
      </c>
    </row>
    <row r="69" spans="1:23" ht="26.25" hidden="1" customHeight="1">
      <c r="A69" s="17"/>
      <c r="B69" s="17"/>
      <c r="C69" s="17"/>
      <c r="D69" s="17"/>
      <c r="E69" s="17"/>
      <c r="F69" s="17"/>
      <c r="G69" s="17"/>
      <c r="H69" s="39" t="s">
        <v>613</v>
      </c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39" t="s">
        <v>1047</v>
      </c>
      <c r="V69" s="17"/>
      <c r="W69" s="41" t="s">
        <v>575</v>
      </c>
    </row>
    <row r="70" spans="1:23" ht="26.25" hidden="1" customHeight="1">
      <c r="A70" s="17"/>
      <c r="B70" s="17"/>
      <c r="C70" s="17"/>
      <c r="D70" s="17"/>
      <c r="E70" s="17"/>
      <c r="F70" s="17"/>
      <c r="G70" s="17"/>
      <c r="H70" s="39" t="s">
        <v>637</v>
      </c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39" t="s">
        <v>1048</v>
      </c>
      <c r="V70" s="17"/>
      <c r="W70" s="39" t="s">
        <v>582</v>
      </c>
    </row>
    <row r="71" spans="1:23" ht="26.25" hidden="1" customHeight="1">
      <c r="A71" s="17"/>
      <c r="B71" s="17"/>
      <c r="C71" s="17"/>
      <c r="D71" s="17"/>
      <c r="E71" s="17"/>
      <c r="F71" s="17"/>
      <c r="G71" s="17"/>
      <c r="H71" s="39" t="s">
        <v>767</v>
      </c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39" t="s">
        <v>1049</v>
      </c>
      <c r="V71" s="17"/>
      <c r="W71" s="41" t="s">
        <v>589</v>
      </c>
    </row>
    <row r="72" spans="1:23" ht="26.25" hidden="1" customHeight="1">
      <c r="A72" s="17"/>
      <c r="B72" s="17"/>
      <c r="C72" s="17"/>
      <c r="D72" s="17"/>
      <c r="E72" s="17"/>
      <c r="F72" s="17"/>
      <c r="G72" s="17"/>
      <c r="H72" s="39" t="s">
        <v>815</v>
      </c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39" t="s">
        <v>1083</v>
      </c>
      <c r="V72" s="17"/>
      <c r="W72" s="41" t="s">
        <v>590</v>
      </c>
    </row>
    <row r="73" spans="1:23" ht="26.25" hidden="1" customHeight="1">
      <c r="A73" s="17"/>
      <c r="B73" s="17"/>
      <c r="C73" s="17"/>
      <c r="D73" s="17"/>
      <c r="E73" s="17"/>
      <c r="F73" s="17"/>
      <c r="G73" s="17"/>
      <c r="H73" s="39" t="s">
        <v>789</v>
      </c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39" t="s">
        <v>1084</v>
      </c>
      <c r="V73" s="17"/>
      <c r="W73" s="41" t="s">
        <v>597</v>
      </c>
    </row>
    <row r="74" spans="1:23" ht="26.25" hidden="1" customHeight="1">
      <c r="A74" s="17"/>
      <c r="B74" s="17"/>
      <c r="C74" s="17"/>
      <c r="D74" s="17"/>
      <c r="E74" s="17"/>
      <c r="F74" s="17"/>
      <c r="G74" s="17"/>
      <c r="H74" s="41" t="s">
        <v>1034</v>
      </c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39" t="s">
        <v>1085</v>
      </c>
      <c r="V74" s="17"/>
      <c r="W74" s="39" t="s">
        <v>598</v>
      </c>
    </row>
    <row r="75" spans="1:23" ht="26.25" hidden="1" customHeight="1">
      <c r="A75" s="17"/>
      <c r="B75" s="17"/>
      <c r="C75" s="17"/>
      <c r="D75" s="17"/>
      <c r="E75" s="17"/>
      <c r="F75" s="17"/>
      <c r="G75" s="17"/>
      <c r="H75" s="39" t="s">
        <v>1033</v>
      </c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39"/>
      <c r="V75" s="17"/>
      <c r="W75" s="41" t="s">
        <v>632</v>
      </c>
    </row>
    <row r="76" spans="1:23" ht="26.25" hidden="1" customHeight="1">
      <c r="A76" s="17"/>
      <c r="B76" s="17"/>
      <c r="C76" s="17"/>
      <c r="D76" s="17"/>
      <c r="E76" s="17"/>
      <c r="F76" s="17"/>
      <c r="G76" s="17"/>
      <c r="H76" s="39" t="s">
        <v>1060</v>
      </c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39" t="s">
        <v>631</v>
      </c>
    </row>
    <row r="77" spans="1:23" ht="26.25" hidden="1" customHeight="1">
      <c r="A77" s="17"/>
      <c r="B77" s="17"/>
      <c r="C77" s="17"/>
      <c r="D77" s="17"/>
      <c r="E77" s="17"/>
      <c r="F77" s="17"/>
      <c r="G77" s="17"/>
      <c r="H77" s="46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39" t="s">
        <v>798</v>
      </c>
    </row>
    <row r="78" spans="1:23" ht="26.25" hidden="1" customHeight="1">
      <c r="A78" s="17"/>
      <c r="B78" s="17"/>
      <c r="C78" s="17"/>
      <c r="D78" s="17"/>
      <c r="E78" s="46"/>
      <c r="F78" s="17"/>
      <c r="G78" s="17"/>
      <c r="H78" s="46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39" t="s">
        <v>801</v>
      </c>
    </row>
    <row r="79" spans="1:23" ht="26.25" hidden="1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39" t="s">
        <v>802</v>
      </c>
    </row>
    <row r="80" spans="1:23" ht="26.25" hidden="1" customHeight="1">
      <c r="A80" s="17"/>
      <c r="B80" s="17"/>
      <c r="C80" s="17"/>
      <c r="D80" s="17"/>
      <c r="E80" s="17"/>
      <c r="F80" s="17"/>
      <c r="G80" s="17"/>
      <c r="H80" s="46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39" t="s">
        <v>827</v>
      </c>
    </row>
    <row r="81" spans="1:23" ht="26.25" hidden="1" customHeight="1">
      <c r="A81" s="17"/>
      <c r="B81" s="17"/>
      <c r="C81" s="17"/>
      <c r="D81" s="17"/>
      <c r="E81" s="17"/>
      <c r="F81" s="17"/>
      <c r="G81" s="17"/>
      <c r="H81" s="46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39" t="s">
        <v>899</v>
      </c>
    </row>
    <row r="82" spans="1:23" ht="26.25" hidden="1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39" t="s">
        <v>908</v>
      </c>
    </row>
    <row r="83" spans="1:23" ht="26.25" hidden="1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39" t="s">
        <v>950</v>
      </c>
    </row>
    <row r="84" spans="1:23" ht="26.25" hidden="1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39" t="s">
        <v>1006</v>
      </c>
    </row>
    <row r="85" spans="1:23" ht="26.25" hidden="1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39" t="s">
        <v>1005</v>
      </c>
    </row>
    <row r="86" spans="1:23" ht="26.25" hidden="1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39" t="s">
        <v>1004</v>
      </c>
    </row>
    <row r="87" spans="1:23" ht="26.25" hidden="1" customHeight="1">
      <c r="A87" s="17"/>
      <c r="B87" s="17"/>
      <c r="C87" s="17"/>
      <c r="D87" s="17"/>
      <c r="E87" s="17"/>
      <c r="F87" s="17"/>
      <c r="G87" s="17">
        <f>G86-SUM(F85:F90)</f>
        <v>0</v>
      </c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39" t="s">
        <v>1007</v>
      </c>
    </row>
    <row r="88" spans="1:23" ht="26.25" hidden="1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39" t="s">
        <v>1015</v>
      </c>
    </row>
    <row r="89" spans="1:23" ht="26.25" hidden="1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39" t="s">
        <v>1016</v>
      </c>
    </row>
    <row r="90" spans="1:23" ht="26.25" hidden="1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39" t="s">
        <v>1050</v>
      </c>
    </row>
    <row r="91" spans="1:23" ht="26.25" hidden="1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39" t="s">
        <v>1052</v>
      </c>
    </row>
    <row r="92" spans="1:23" ht="26.25" hidden="1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39" t="s">
        <v>1053</v>
      </c>
    </row>
    <row r="93" spans="1:23" s="50" customFormat="1" ht="26.25" hidden="1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 t="s">
        <v>1080</v>
      </c>
    </row>
    <row r="94" spans="1:23" ht="26.25" hidden="1" customHeight="1">
      <c r="A94" s="39" t="s">
        <v>1113</v>
      </c>
      <c r="B94" s="39"/>
      <c r="C94" s="39" t="s">
        <v>890</v>
      </c>
      <c r="D94" s="39" t="s">
        <v>889</v>
      </c>
      <c r="E94" s="39"/>
      <c r="F94" s="39"/>
      <c r="G94" s="39" t="s">
        <v>1059</v>
      </c>
      <c r="H94" s="39" t="s">
        <v>1138</v>
      </c>
      <c r="I94" s="39" t="s">
        <v>1139</v>
      </c>
      <c r="J94" s="39"/>
      <c r="K94" s="39"/>
      <c r="L94" s="39" t="s">
        <v>1103</v>
      </c>
      <c r="M94" s="39" t="s">
        <v>1105</v>
      </c>
      <c r="N94" s="39" t="s">
        <v>1106</v>
      </c>
      <c r="O94" s="39"/>
      <c r="P94" s="38"/>
      <c r="Q94" s="38"/>
      <c r="R94" s="38"/>
      <c r="S94" s="39"/>
      <c r="T94" s="39" t="s">
        <v>1107</v>
      </c>
      <c r="U94" s="39" t="s">
        <v>1157</v>
      </c>
      <c r="V94" s="39" t="s">
        <v>1119</v>
      </c>
      <c r="W94" s="39" t="s">
        <v>1108</v>
      </c>
    </row>
    <row r="95" spans="1:23" ht="26.25" hidden="1" customHeight="1">
      <c r="A95" s="39" t="s">
        <v>1114</v>
      </c>
      <c r="B95" s="17"/>
      <c r="C95" s="39"/>
      <c r="D95" s="39"/>
      <c r="E95" s="17"/>
      <c r="F95" s="17"/>
      <c r="G95" s="39" t="s">
        <v>1206</v>
      </c>
      <c r="H95" s="39" t="s">
        <v>1191</v>
      </c>
      <c r="I95" s="39"/>
      <c r="J95" s="17"/>
      <c r="K95" s="17"/>
      <c r="L95" s="39" t="s">
        <v>1118</v>
      </c>
      <c r="M95" s="39" t="s">
        <v>1115</v>
      </c>
      <c r="N95" s="39"/>
      <c r="O95" s="20"/>
      <c r="P95" s="47"/>
      <c r="Q95" s="17"/>
      <c r="R95" s="17"/>
      <c r="S95" s="17"/>
      <c r="T95" s="39" t="s">
        <v>1132</v>
      </c>
      <c r="U95" s="39" t="s">
        <v>1167</v>
      </c>
      <c r="V95" s="39" t="s">
        <v>1143</v>
      </c>
      <c r="W95" s="39" t="s">
        <v>1117</v>
      </c>
    </row>
    <row r="96" spans="1:23" ht="26.25" hidden="1" customHeight="1">
      <c r="A96" s="39" t="s">
        <v>1131</v>
      </c>
      <c r="B96" s="17"/>
      <c r="C96" s="17"/>
      <c r="D96" s="17"/>
      <c r="E96" s="17"/>
      <c r="F96" s="17"/>
      <c r="G96" s="39" t="s">
        <v>1207</v>
      </c>
      <c r="H96" s="38" t="s">
        <v>1204</v>
      </c>
      <c r="I96" s="17"/>
      <c r="J96" s="17"/>
      <c r="K96" s="17"/>
      <c r="L96" s="39" t="s">
        <v>1124</v>
      </c>
      <c r="M96" s="39" t="s">
        <v>1145</v>
      </c>
      <c r="N96" s="17"/>
      <c r="O96" s="17"/>
      <c r="P96" s="47"/>
      <c r="Q96" s="17"/>
      <c r="R96" s="17"/>
      <c r="S96" s="17"/>
      <c r="T96" s="39" t="s">
        <v>1123</v>
      </c>
      <c r="U96" s="39"/>
      <c r="V96" s="39" t="s">
        <v>1164</v>
      </c>
      <c r="W96" s="39" t="s">
        <v>1125</v>
      </c>
    </row>
    <row r="97" spans="1:23" ht="26.25" hidden="1" customHeight="1">
      <c r="A97" s="39" t="s">
        <v>1152</v>
      </c>
      <c r="B97" s="17"/>
      <c r="C97" s="17"/>
      <c r="D97" s="17"/>
      <c r="E97" s="17"/>
      <c r="F97" s="17"/>
      <c r="G97" s="48"/>
      <c r="H97" s="39"/>
      <c r="I97" s="17"/>
      <c r="J97" s="17"/>
      <c r="K97" s="17"/>
      <c r="L97" s="39" t="s">
        <v>1126</v>
      </c>
      <c r="M97" s="39" t="s">
        <v>1135</v>
      </c>
      <c r="N97" s="20"/>
      <c r="O97" s="17"/>
      <c r="P97" s="17"/>
      <c r="Q97" s="17"/>
      <c r="R97" s="17"/>
      <c r="S97" s="17"/>
      <c r="T97" s="39" t="s">
        <v>1163</v>
      </c>
      <c r="U97" s="17"/>
      <c r="V97" s="39" t="s">
        <v>1179</v>
      </c>
      <c r="W97" s="39" t="s">
        <v>1116</v>
      </c>
    </row>
    <row r="98" spans="1:23" ht="26.25" hidden="1" customHeight="1">
      <c r="A98" s="39" t="s">
        <v>1153</v>
      </c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39" t="s">
        <v>1127</v>
      </c>
      <c r="M98" s="39" t="s">
        <v>1144</v>
      </c>
      <c r="N98" s="17"/>
      <c r="O98" s="17"/>
      <c r="P98" s="17"/>
      <c r="Q98" s="17"/>
      <c r="R98" s="17"/>
      <c r="S98" s="17"/>
      <c r="T98" s="39"/>
      <c r="U98" s="17"/>
      <c r="V98" s="39" t="s">
        <v>1194</v>
      </c>
      <c r="W98" s="39" t="s">
        <v>1128</v>
      </c>
    </row>
    <row r="99" spans="1:23" ht="26.25" hidden="1" customHeight="1">
      <c r="A99" s="39" t="s">
        <v>1154</v>
      </c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39" t="s">
        <v>1136</v>
      </c>
      <c r="M99" s="38" t="s">
        <v>1193</v>
      </c>
      <c r="N99" s="17"/>
      <c r="O99" s="17"/>
      <c r="P99" s="17"/>
      <c r="Q99" s="17"/>
      <c r="R99" s="17"/>
      <c r="S99" s="17"/>
      <c r="T99" s="17"/>
      <c r="U99" s="17"/>
      <c r="V99" s="39"/>
      <c r="W99" s="39" t="s">
        <v>1133</v>
      </c>
    </row>
    <row r="100" spans="1:23" ht="26.25" hidden="1" customHeight="1">
      <c r="A100" s="39" t="s">
        <v>1162</v>
      </c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39" t="s">
        <v>1177</v>
      </c>
      <c r="M100" s="39"/>
      <c r="N100" s="17"/>
      <c r="O100" s="17"/>
      <c r="P100" s="17"/>
      <c r="Q100" s="17"/>
      <c r="R100" s="17"/>
      <c r="S100" s="17"/>
      <c r="T100" s="17"/>
      <c r="U100" s="17"/>
      <c r="V100" s="17"/>
      <c r="W100" s="39" t="s">
        <v>1156</v>
      </c>
    </row>
    <row r="101" spans="1:23" ht="26.25" hidden="1" customHeight="1">
      <c r="A101" s="38" t="s">
        <v>1166</v>
      </c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39" t="s">
        <v>1178</v>
      </c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43"/>
    </row>
    <row r="102" spans="1:23" ht="26.25" hidden="1" customHeight="1">
      <c r="A102" s="39" t="s">
        <v>1190</v>
      </c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39" t="s">
        <v>1183</v>
      </c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39" t="s">
        <v>1195</v>
      </c>
    </row>
    <row r="103" spans="1:23" s="50" customFormat="1" ht="26.25" hidden="1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 t="s">
        <v>1203</v>
      </c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 t="s">
        <v>1196</v>
      </c>
    </row>
    <row r="104" spans="1:23" ht="26.25" hidden="1" customHeight="1">
      <c r="A104" s="39" t="s">
        <v>1220</v>
      </c>
      <c r="B104" s="39" t="s">
        <v>1269</v>
      </c>
      <c r="C104" s="39" t="s">
        <v>1008</v>
      </c>
      <c r="D104" s="39" t="s">
        <v>1008</v>
      </c>
      <c r="E104" s="39" t="s">
        <v>1176</v>
      </c>
      <c r="F104" s="39" t="s">
        <v>1168</v>
      </c>
      <c r="G104" s="38" t="s">
        <v>1241</v>
      </c>
      <c r="H104" s="39" t="s">
        <v>1268</v>
      </c>
      <c r="I104" s="39" t="s">
        <v>1285</v>
      </c>
      <c r="J104" s="39" t="s">
        <v>943</v>
      </c>
      <c r="K104" s="39" t="s">
        <v>943</v>
      </c>
      <c r="L104" s="39" t="s">
        <v>1192</v>
      </c>
      <c r="M104" s="39" t="s">
        <v>1233</v>
      </c>
      <c r="N104" s="39" t="s">
        <v>1211</v>
      </c>
      <c r="O104" s="39" t="s">
        <v>1184</v>
      </c>
      <c r="P104" s="38" t="s">
        <v>1198</v>
      </c>
      <c r="Q104" s="38" t="s">
        <v>1198</v>
      </c>
      <c r="R104" s="38" t="s">
        <v>1198</v>
      </c>
      <c r="S104" s="39" t="s">
        <v>1231</v>
      </c>
      <c r="T104" s="39" t="s">
        <v>1224</v>
      </c>
      <c r="U104" s="39" t="s">
        <v>1286</v>
      </c>
      <c r="V104" s="39" t="s">
        <v>1243</v>
      </c>
      <c r="W104" s="39" t="s">
        <v>1214</v>
      </c>
    </row>
    <row r="105" spans="1:23" ht="26.25" hidden="1" customHeight="1">
      <c r="A105" s="39" t="s">
        <v>1294</v>
      </c>
      <c r="B105" s="39" t="s">
        <v>1302</v>
      </c>
      <c r="C105" s="39"/>
      <c r="D105" s="39"/>
      <c r="E105" s="39" t="s">
        <v>1232</v>
      </c>
      <c r="F105" s="39" t="s">
        <v>1249</v>
      </c>
      <c r="G105" s="39" t="s">
        <v>1242</v>
      </c>
      <c r="H105" s="39" t="s">
        <v>1205</v>
      </c>
      <c r="I105" s="39" t="s">
        <v>1335</v>
      </c>
      <c r="J105" s="38" t="s">
        <v>1357</v>
      </c>
      <c r="K105" s="39"/>
      <c r="L105" s="39" t="s">
        <v>1248</v>
      </c>
      <c r="M105" s="39" t="s">
        <v>1246</v>
      </c>
      <c r="N105" s="39" t="s">
        <v>1212</v>
      </c>
      <c r="O105" s="39"/>
      <c r="P105" s="39" t="s">
        <v>1221</v>
      </c>
      <c r="Q105" s="39" t="s">
        <v>1216</v>
      </c>
      <c r="R105" s="51" t="s">
        <v>1312</v>
      </c>
      <c r="S105" s="39" t="s">
        <v>1360</v>
      </c>
      <c r="T105" s="39" t="s">
        <v>1298</v>
      </c>
      <c r="U105" s="39"/>
      <c r="V105" s="39" t="s">
        <v>1352</v>
      </c>
      <c r="W105" s="39" t="s">
        <v>1225</v>
      </c>
    </row>
    <row r="106" spans="1:23" ht="26.25" hidden="1" customHeight="1">
      <c r="A106" s="39" t="s">
        <v>1326</v>
      </c>
      <c r="B106" s="39"/>
      <c r="C106" s="17"/>
      <c r="D106" s="17"/>
      <c r="E106" s="39" t="s">
        <v>1289</v>
      </c>
      <c r="F106" s="39" t="s">
        <v>1287</v>
      </c>
      <c r="G106" s="38" t="s">
        <v>1250</v>
      </c>
      <c r="H106" s="39" t="s">
        <v>1300</v>
      </c>
      <c r="I106" s="39" t="s">
        <v>1323</v>
      </c>
      <c r="J106" s="39"/>
      <c r="K106" s="17"/>
      <c r="L106" s="39" t="s">
        <v>1210</v>
      </c>
      <c r="M106" s="39" t="s">
        <v>1247</v>
      </c>
      <c r="N106" s="39" t="s">
        <v>1296</v>
      </c>
      <c r="O106" s="17"/>
      <c r="P106" s="39" t="s">
        <v>1222</v>
      </c>
      <c r="Q106" s="39" t="s">
        <v>1217</v>
      </c>
      <c r="R106" s="39" t="s">
        <v>1369</v>
      </c>
      <c r="S106" s="17"/>
      <c r="T106" s="39" t="s">
        <v>1299</v>
      </c>
      <c r="U106" s="17"/>
      <c r="V106" s="39"/>
      <c r="W106" s="39" t="s">
        <v>1215</v>
      </c>
    </row>
    <row r="107" spans="1:23" ht="26.25" hidden="1" customHeight="1">
      <c r="A107" s="39" t="s">
        <v>1330</v>
      </c>
      <c r="B107" s="17"/>
      <c r="C107" s="17"/>
      <c r="D107" s="17"/>
      <c r="E107" s="39" t="s">
        <v>1290</v>
      </c>
      <c r="F107" s="39" t="s">
        <v>1288</v>
      </c>
      <c r="G107" s="39" t="s">
        <v>1310</v>
      </c>
      <c r="H107" s="39" t="s">
        <v>1322</v>
      </c>
      <c r="I107" s="39" t="s">
        <v>1324</v>
      </c>
      <c r="J107" s="17"/>
      <c r="K107" s="17"/>
      <c r="L107" s="39"/>
      <c r="M107" s="39"/>
      <c r="N107" s="39"/>
      <c r="O107" s="17"/>
      <c r="P107" s="39" t="s">
        <v>1226</v>
      </c>
      <c r="Q107" s="39" t="s">
        <v>1223</v>
      </c>
      <c r="R107" s="17"/>
      <c r="S107" s="17"/>
      <c r="T107" s="39"/>
      <c r="U107" s="17"/>
      <c r="V107" s="17"/>
      <c r="W107" s="39" t="s">
        <v>1234</v>
      </c>
    </row>
    <row r="108" spans="1:23" ht="26.25" hidden="1" customHeight="1">
      <c r="A108" s="39" t="s">
        <v>1331</v>
      </c>
      <c r="B108" s="17"/>
      <c r="C108" s="17"/>
      <c r="D108" s="17"/>
      <c r="E108" s="39" t="s">
        <v>1295</v>
      </c>
      <c r="F108" s="39" t="s">
        <v>1350</v>
      </c>
      <c r="G108" s="39" t="s">
        <v>1309</v>
      </c>
      <c r="H108" s="39" t="s">
        <v>1367</v>
      </c>
      <c r="I108" s="39" t="s">
        <v>1325</v>
      </c>
      <c r="J108" s="17"/>
      <c r="K108" s="17"/>
      <c r="L108" s="17"/>
      <c r="M108" s="17"/>
      <c r="N108" s="17"/>
      <c r="O108" s="17"/>
      <c r="P108" s="39" t="s">
        <v>1227</v>
      </c>
      <c r="Q108" s="51" t="s">
        <v>1333</v>
      </c>
      <c r="R108" s="17"/>
      <c r="S108" s="17"/>
      <c r="T108" s="17"/>
      <c r="U108" s="17"/>
      <c r="V108" s="17"/>
      <c r="W108" s="39" t="s">
        <v>1237</v>
      </c>
    </row>
    <row r="109" spans="1:23" ht="26.25" hidden="1" customHeight="1">
      <c r="A109" s="39" t="s">
        <v>1375</v>
      </c>
      <c r="B109" s="17"/>
      <c r="C109" s="17"/>
      <c r="D109" s="17"/>
      <c r="E109" s="39" t="s">
        <v>1284</v>
      </c>
      <c r="F109" s="39"/>
      <c r="G109" s="39" t="s">
        <v>1308</v>
      </c>
      <c r="H109" s="17">
        <f>SUM(N109:N117)+SUM(I110:I111)</f>
        <v>0</v>
      </c>
      <c r="I109" s="39"/>
      <c r="J109" s="17"/>
      <c r="K109" s="17"/>
      <c r="L109" s="17"/>
      <c r="M109" s="17"/>
      <c r="N109" s="17"/>
      <c r="O109" s="17"/>
      <c r="P109" s="38" t="s">
        <v>1245</v>
      </c>
      <c r="Q109" s="39" t="s">
        <v>1368</v>
      </c>
      <c r="R109" s="17"/>
      <c r="S109" s="17"/>
      <c r="T109" s="17"/>
      <c r="U109" s="17"/>
      <c r="V109" s="17"/>
      <c r="W109" s="39" t="s">
        <v>1258</v>
      </c>
    </row>
    <row r="110" spans="1:23" ht="26.25" hidden="1" customHeight="1">
      <c r="A110" s="17"/>
      <c r="B110" s="17"/>
      <c r="C110" s="17"/>
      <c r="D110" s="17"/>
      <c r="E110" s="39"/>
      <c r="F110" s="17"/>
      <c r="G110" s="39" t="s">
        <v>1351</v>
      </c>
      <c r="H110" s="17"/>
      <c r="I110" s="17"/>
      <c r="J110" s="17"/>
      <c r="K110" s="17"/>
      <c r="L110" s="17"/>
      <c r="M110" s="48"/>
      <c r="N110" s="17"/>
      <c r="O110" s="17"/>
      <c r="P110" s="38" t="s">
        <v>1240</v>
      </c>
      <c r="Q110" s="17"/>
      <c r="R110" s="17"/>
      <c r="S110" s="17"/>
      <c r="T110" s="17"/>
      <c r="U110" s="17"/>
      <c r="V110" s="17"/>
      <c r="W110" s="39" t="s">
        <v>1276</v>
      </c>
    </row>
    <row r="111" spans="1:23" ht="26.25" hidden="1" customHeight="1">
      <c r="A111" s="17"/>
      <c r="B111" s="17"/>
      <c r="C111" s="17"/>
      <c r="D111" s="17"/>
      <c r="E111" s="17"/>
      <c r="F111" s="17"/>
      <c r="G111" s="39" t="s">
        <v>1354</v>
      </c>
      <c r="H111" s="17"/>
      <c r="I111" s="17"/>
      <c r="J111" s="17"/>
      <c r="K111" s="17"/>
      <c r="L111" s="17"/>
      <c r="M111" s="20"/>
      <c r="N111" s="17"/>
      <c r="O111" s="17"/>
      <c r="P111" s="38" t="s">
        <v>1244</v>
      </c>
      <c r="Q111" s="17"/>
      <c r="R111" s="17"/>
      <c r="S111" s="17"/>
      <c r="T111" s="17"/>
      <c r="U111" s="17"/>
      <c r="V111" s="17"/>
      <c r="W111" s="39" t="s">
        <v>1277</v>
      </c>
    </row>
    <row r="112" spans="1:23" ht="26.25" hidden="1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38" t="s">
        <v>1266</v>
      </c>
      <c r="Q112" s="17"/>
      <c r="R112" s="17"/>
      <c r="S112" s="17"/>
      <c r="T112" s="17"/>
      <c r="U112" s="17"/>
      <c r="V112" s="17"/>
      <c r="W112" s="39" t="s">
        <v>1304</v>
      </c>
    </row>
    <row r="113" spans="1:23" ht="26.25" hidden="1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38" t="s">
        <v>1265</v>
      </c>
      <c r="Q113" s="17"/>
      <c r="R113" s="17"/>
      <c r="S113" s="17"/>
      <c r="T113" s="17"/>
      <c r="U113" s="17"/>
      <c r="V113" s="17"/>
      <c r="W113" s="39" t="s">
        <v>1303</v>
      </c>
    </row>
    <row r="114" spans="1:23" ht="26.25" hidden="1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38" t="s">
        <v>1278</v>
      </c>
      <c r="Q114" s="17"/>
      <c r="R114" s="17"/>
      <c r="S114" s="20"/>
      <c r="T114" s="17"/>
      <c r="U114" s="17"/>
      <c r="V114" s="17"/>
      <c r="W114" s="39" t="s">
        <v>1311</v>
      </c>
    </row>
    <row r="115" spans="1:23" ht="26.25" hidden="1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20"/>
      <c r="P115" s="39" t="s">
        <v>1267</v>
      </c>
      <c r="Q115" s="17"/>
      <c r="R115" s="17"/>
      <c r="S115" s="17"/>
      <c r="T115" s="17"/>
      <c r="U115" s="17"/>
      <c r="V115" s="17"/>
      <c r="W115" s="39" t="s">
        <v>1332</v>
      </c>
    </row>
    <row r="116" spans="1:23" ht="26.25" hidden="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51" t="s">
        <v>1333</v>
      </c>
      <c r="Q116" s="17"/>
      <c r="R116" s="17"/>
      <c r="S116" s="17"/>
      <c r="T116" s="17"/>
      <c r="U116" s="17"/>
      <c r="V116" s="17"/>
      <c r="W116" s="39" t="s">
        <v>1353</v>
      </c>
    </row>
    <row r="117" spans="1:23" ht="26.25" hidden="1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39"/>
      <c r="Q117" s="17"/>
      <c r="R117" s="17"/>
      <c r="S117" s="17"/>
      <c r="T117" s="17"/>
      <c r="U117" s="17"/>
      <c r="V117" s="17"/>
      <c r="W117" s="39" t="s">
        <v>1359</v>
      </c>
    </row>
    <row r="118" spans="1:23" s="53" customFormat="1" ht="26.25" hidden="1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 t="s">
        <v>1370</v>
      </c>
    </row>
    <row r="119" spans="1:23" ht="26.25" hidden="1" customHeight="1">
      <c r="A119" s="39" t="s">
        <v>1379</v>
      </c>
      <c r="B119" s="39" t="s">
        <v>1408</v>
      </c>
      <c r="C119" s="39" t="s">
        <v>1408</v>
      </c>
      <c r="D119" s="39" t="s">
        <v>1408</v>
      </c>
      <c r="E119" s="39" t="s">
        <v>1402</v>
      </c>
      <c r="F119" s="39" t="s">
        <v>1381</v>
      </c>
      <c r="G119" s="39" t="s">
        <v>1358</v>
      </c>
      <c r="H119" s="39" t="s">
        <v>1367</v>
      </c>
      <c r="I119" s="39" t="s">
        <v>1380</v>
      </c>
      <c r="J119" s="39" t="s">
        <v>1388</v>
      </c>
      <c r="K119" s="39" t="s">
        <v>1388</v>
      </c>
      <c r="L119" s="39" t="s">
        <v>1650</v>
      </c>
      <c r="M119" s="39" t="s">
        <v>1650</v>
      </c>
      <c r="N119" s="39" t="s">
        <v>1650</v>
      </c>
      <c r="O119" s="39" t="s">
        <v>1650</v>
      </c>
      <c r="P119" s="39" t="s">
        <v>1462</v>
      </c>
      <c r="Q119" s="39" t="s">
        <v>1368</v>
      </c>
      <c r="R119" s="39" t="s">
        <v>1573</v>
      </c>
      <c r="S119" s="39" t="s">
        <v>1407</v>
      </c>
      <c r="T119" s="39" t="s">
        <v>1387</v>
      </c>
      <c r="U119" s="39" t="s">
        <v>1427</v>
      </c>
      <c r="V119" s="39" t="s">
        <v>1400</v>
      </c>
      <c r="W119" s="39" t="s">
        <v>1371</v>
      </c>
    </row>
    <row r="120" spans="1:23" ht="26.25" hidden="1" customHeight="1">
      <c r="A120" s="39" t="s">
        <v>1426</v>
      </c>
      <c r="B120" s="54" t="s">
        <v>1616</v>
      </c>
      <c r="C120" s="54" t="s">
        <v>1616</v>
      </c>
      <c r="D120" s="55" t="s">
        <v>1484</v>
      </c>
      <c r="E120" s="54" t="s">
        <v>1471</v>
      </c>
      <c r="F120" s="39" t="s">
        <v>1386</v>
      </c>
      <c r="G120" s="39" t="s">
        <v>1395</v>
      </c>
      <c r="H120" s="39" t="s">
        <v>1620</v>
      </c>
      <c r="I120" s="39" t="s">
        <v>1397</v>
      </c>
      <c r="J120" s="39" t="s">
        <v>1774</v>
      </c>
      <c r="K120" s="39" t="s">
        <v>1774</v>
      </c>
      <c r="L120" s="54" t="s">
        <v>1913</v>
      </c>
      <c r="M120" s="54" t="s">
        <v>1914</v>
      </c>
      <c r="N120" s="54" t="s">
        <v>1913</v>
      </c>
      <c r="O120" s="54" t="s">
        <v>1822</v>
      </c>
      <c r="P120" s="54" t="s">
        <v>1491</v>
      </c>
      <c r="Q120" s="39" t="s">
        <v>1574</v>
      </c>
      <c r="R120" s="54" t="s">
        <v>1608</v>
      </c>
      <c r="S120" s="54" t="s">
        <v>1467</v>
      </c>
      <c r="T120" s="54" t="s">
        <v>1444</v>
      </c>
      <c r="U120" s="56" t="s">
        <v>1430</v>
      </c>
      <c r="V120" s="39" t="s">
        <v>1401</v>
      </c>
      <c r="W120" s="39" t="s">
        <v>1398</v>
      </c>
    </row>
    <row r="121" spans="1:23" ht="26.25" hidden="1" customHeight="1">
      <c r="A121" s="38" t="s">
        <v>1429</v>
      </c>
      <c r="B121" s="54" t="s">
        <v>1658</v>
      </c>
      <c r="C121" s="55" t="s">
        <v>1639</v>
      </c>
      <c r="D121" s="54" t="s">
        <v>1616</v>
      </c>
      <c r="E121" s="54" t="s">
        <v>1891</v>
      </c>
      <c r="F121" s="39" t="s">
        <v>1399</v>
      </c>
      <c r="G121" s="39" t="s">
        <v>1424</v>
      </c>
      <c r="H121" s="54" t="s">
        <v>1483</v>
      </c>
      <c r="I121" s="39" t="s">
        <v>1396</v>
      </c>
      <c r="J121" s="54" t="s">
        <v>1934</v>
      </c>
      <c r="K121" s="54" t="s">
        <v>1904</v>
      </c>
      <c r="L121" s="54" t="s">
        <v>2019</v>
      </c>
      <c r="M121" s="54" t="s">
        <v>2019</v>
      </c>
      <c r="N121" s="54" t="s">
        <v>2019</v>
      </c>
      <c r="O121" s="54" t="s">
        <v>1902</v>
      </c>
      <c r="P121" s="54" t="s">
        <v>1556</v>
      </c>
      <c r="Q121" s="54" t="s">
        <v>1660</v>
      </c>
      <c r="R121" s="54" t="s">
        <v>1619</v>
      </c>
      <c r="S121" s="54" t="s">
        <v>1497</v>
      </c>
      <c r="T121" s="54" t="s">
        <v>1482</v>
      </c>
      <c r="U121" s="54" t="s">
        <v>1466</v>
      </c>
      <c r="V121" s="39" t="s">
        <v>1406</v>
      </c>
      <c r="W121" s="39" t="s">
        <v>1404</v>
      </c>
    </row>
    <row r="122" spans="1:23" ht="26.25" hidden="1" customHeight="1">
      <c r="A122" s="54" t="s">
        <v>1458</v>
      </c>
      <c r="B122" s="54" t="s">
        <v>1800</v>
      </c>
      <c r="C122" s="54" t="s">
        <v>1636</v>
      </c>
      <c r="D122" s="54" t="s">
        <v>1659</v>
      </c>
      <c r="E122" s="54" t="s">
        <v>1514</v>
      </c>
      <c r="F122" s="54" t="s">
        <v>1505</v>
      </c>
      <c r="G122" s="39" t="s">
        <v>1541</v>
      </c>
      <c r="H122" s="54" t="s">
        <v>1516</v>
      </c>
      <c r="I122" s="38" t="s">
        <v>1425</v>
      </c>
      <c r="J122" s="54" t="s">
        <v>1998</v>
      </c>
      <c r="K122" s="54" t="s">
        <v>1999</v>
      </c>
      <c r="L122" s="17"/>
      <c r="M122" s="17"/>
      <c r="N122" s="17"/>
      <c r="O122" s="54" t="s">
        <v>1907</v>
      </c>
      <c r="P122" s="54" t="s">
        <v>1561</v>
      </c>
      <c r="Q122" s="54" t="s">
        <v>1690</v>
      </c>
      <c r="R122" s="39" t="s">
        <v>1816</v>
      </c>
      <c r="S122" s="54" t="s">
        <v>1490</v>
      </c>
      <c r="T122" s="54" t="s">
        <v>1498</v>
      </c>
      <c r="U122" s="54" t="s">
        <v>1443</v>
      </c>
      <c r="V122" s="39" t="s">
        <v>1431</v>
      </c>
      <c r="W122" s="39" t="s">
        <v>1405</v>
      </c>
    </row>
    <row r="123" spans="1:23" ht="26.25" hidden="1" customHeight="1">
      <c r="A123" s="54" t="s">
        <v>1468</v>
      </c>
      <c r="B123" s="39" t="s">
        <v>1985</v>
      </c>
      <c r="C123" s="54" t="s">
        <v>1648</v>
      </c>
      <c r="D123" s="56" t="s">
        <v>1662</v>
      </c>
      <c r="E123" s="55" t="s">
        <v>1504</v>
      </c>
      <c r="F123" s="54" t="s">
        <v>1527</v>
      </c>
      <c r="G123" s="54" t="s">
        <v>1588</v>
      </c>
      <c r="H123" s="54" t="s">
        <v>1524</v>
      </c>
      <c r="I123" s="39" t="s">
        <v>1403</v>
      </c>
      <c r="J123" s="39" t="s">
        <v>2014</v>
      </c>
      <c r="K123" s="39" t="s">
        <v>2014</v>
      </c>
      <c r="L123" s="17"/>
      <c r="M123" s="17"/>
      <c r="N123" s="17"/>
      <c r="O123" s="54" t="s">
        <v>1908</v>
      </c>
      <c r="P123" s="55" t="s">
        <v>1568</v>
      </c>
      <c r="Q123" s="54" t="s">
        <v>1762</v>
      </c>
      <c r="R123" s="39" t="s">
        <v>2000</v>
      </c>
      <c r="S123" s="54" t="s">
        <v>1515</v>
      </c>
      <c r="T123" s="54" t="s">
        <v>1499</v>
      </c>
      <c r="U123" s="54" t="s">
        <v>1500</v>
      </c>
      <c r="V123" s="39" t="s">
        <v>1480</v>
      </c>
      <c r="W123" s="54" t="s">
        <v>1470</v>
      </c>
    </row>
    <row r="124" spans="1:23" ht="26.25" hidden="1" customHeight="1">
      <c r="A124" s="54" t="s">
        <v>1501</v>
      </c>
      <c r="B124" s="54"/>
      <c r="C124" s="54" t="s">
        <v>1800</v>
      </c>
      <c r="D124" s="54" t="s">
        <v>1661</v>
      </c>
      <c r="E124" s="54" t="s">
        <v>1617</v>
      </c>
      <c r="F124" s="55" t="s">
        <v>1520</v>
      </c>
      <c r="G124" s="54" t="s">
        <v>1606</v>
      </c>
      <c r="H124" s="54" t="s">
        <v>1550</v>
      </c>
      <c r="I124" s="54" t="s">
        <v>1916</v>
      </c>
      <c r="J124" s="54"/>
      <c r="K124" s="54"/>
      <c r="L124" s="17"/>
      <c r="M124" s="17"/>
      <c r="N124" s="17"/>
      <c r="O124" s="54" t="s">
        <v>1922</v>
      </c>
      <c r="P124" s="54" t="s">
        <v>1572</v>
      </c>
      <c r="Q124" s="54" t="s">
        <v>1801</v>
      </c>
      <c r="R124" s="54"/>
      <c r="S124" s="54" t="s">
        <v>1517</v>
      </c>
      <c r="T124" s="55" t="s">
        <v>1503</v>
      </c>
      <c r="U124" s="54" t="s">
        <v>1542</v>
      </c>
      <c r="V124" s="54" t="s">
        <v>1481</v>
      </c>
      <c r="W124" s="54" t="s">
        <v>1469</v>
      </c>
    </row>
    <row r="125" spans="1:23" ht="26.25" hidden="1" customHeight="1">
      <c r="A125" s="54" t="s">
        <v>1551</v>
      </c>
      <c r="B125" s="17"/>
      <c r="C125" s="39" t="s">
        <v>1985</v>
      </c>
      <c r="D125" s="54" t="s">
        <v>1687</v>
      </c>
      <c r="E125" s="54" t="s">
        <v>1649</v>
      </c>
      <c r="F125" s="55" t="s">
        <v>1526</v>
      </c>
      <c r="G125" s="54" t="s">
        <v>1645</v>
      </c>
      <c r="H125" s="54" t="s">
        <v>1571</v>
      </c>
      <c r="I125" s="54" t="s">
        <v>1933</v>
      </c>
      <c r="J125" s="17"/>
      <c r="K125" s="17"/>
      <c r="L125" s="17"/>
      <c r="M125" s="17"/>
      <c r="N125" s="17"/>
      <c r="O125" s="54" t="s">
        <v>2019</v>
      </c>
      <c r="P125" s="54" t="s">
        <v>1591</v>
      </c>
      <c r="Q125" s="54" t="s">
        <v>1823</v>
      </c>
      <c r="R125" s="17"/>
      <c r="S125" s="55" t="s">
        <v>1522</v>
      </c>
      <c r="T125" s="54" t="s">
        <v>1518</v>
      </c>
      <c r="U125" s="54" t="s">
        <v>1552</v>
      </c>
      <c r="V125" s="54" t="s">
        <v>1553</v>
      </c>
      <c r="W125" s="54" t="s">
        <v>1485</v>
      </c>
    </row>
    <row r="126" spans="1:23" ht="26.25" hidden="1" customHeight="1">
      <c r="A126" s="54" t="s">
        <v>1587</v>
      </c>
      <c r="B126" s="17"/>
      <c r="C126" s="54" t="s">
        <v>2112</v>
      </c>
      <c r="D126" s="54" t="s">
        <v>1686</v>
      </c>
      <c r="E126" s="54" t="s">
        <v>1688</v>
      </c>
      <c r="F126" s="54" t="s">
        <v>1673</v>
      </c>
      <c r="G126" s="54" t="s">
        <v>1689</v>
      </c>
      <c r="H126" s="54" t="s">
        <v>1631</v>
      </c>
      <c r="I126" s="54" t="s">
        <v>1992</v>
      </c>
      <c r="J126" s="17"/>
      <c r="K126" s="17"/>
      <c r="L126" s="17"/>
      <c r="M126" s="17"/>
      <c r="N126" s="17"/>
      <c r="O126" s="17"/>
      <c r="P126" s="54" t="s">
        <v>1592</v>
      </c>
      <c r="Q126" s="55" t="s">
        <v>1909</v>
      </c>
      <c r="R126" s="17"/>
      <c r="S126" s="54" t="s">
        <v>1548</v>
      </c>
      <c r="T126" s="54" t="s">
        <v>1519</v>
      </c>
      <c r="U126" s="39" t="s">
        <v>1746</v>
      </c>
      <c r="V126" s="39" t="s">
        <v>1817</v>
      </c>
      <c r="W126" s="55" t="s">
        <v>1502</v>
      </c>
    </row>
    <row r="127" spans="1:23" ht="26.25" hidden="1" customHeight="1">
      <c r="A127" s="54" t="s">
        <v>1685</v>
      </c>
      <c r="B127" s="17"/>
      <c r="C127" s="17"/>
      <c r="D127" s="39" t="s">
        <v>1819</v>
      </c>
      <c r="E127" s="39" t="s">
        <v>1820</v>
      </c>
      <c r="F127" s="54" t="s">
        <v>1704</v>
      </c>
      <c r="G127" s="54" t="s">
        <v>1740</v>
      </c>
      <c r="H127" s="54" t="s">
        <v>1741</v>
      </c>
      <c r="I127" s="58" t="s">
        <v>2004</v>
      </c>
      <c r="J127" s="17"/>
      <c r="K127" s="17"/>
      <c r="L127" s="17"/>
      <c r="M127" s="17"/>
      <c r="N127" s="17"/>
      <c r="O127" s="17"/>
      <c r="P127" s="54" t="s">
        <v>1607</v>
      </c>
      <c r="Q127" s="54" t="s">
        <v>1966</v>
      </c>
      <c r="R127" s="17"/>
      <c r="S127" s="54" t="s">
        <v>1547</v>
      </c>
      <c r="T127" s="54" t="s">
        <v>1539</v>
      </c>
      <c r="U127" s="54" t="s">
        <v>1923</v>
      </c>
      <c r="V127" s="54" t="s">
        <v>1826</v>
      </c>
      <c r="W127" s="54" t="s">
        <v>1540</v>
      </c>
    </row>
    <row r="128" spans="1:23" ht="26.25" hidden="1" customHeight="1">
      <c r="A128" s="54" t="s">
        <v>2124</v>
      </c>
      <c r="B128" s="17"/>
      <c r="C128" s="17"/>
      <c r="D128" s="54" t="s">
        <v>1986</v>
      </c>
      <c r="E128" s="54" t="s">
        <v>1997</v>
      </c>
      <c r="F128" s="54" t="s">
        <v>1703</v>
      </c>
      <c r="G128" s="54" t="s">
        <v>1756</v>
      </c>
      <c r="H128" s="54" t="s">
        <v>1903</v>
      </c>
      <c r="I128" s="58" t="s">
        <v>2007</v>
      </c>
      <c r="J128" s="17"/>
      <c r="K128" s="17"/>
      <c r="L128" s="17"/>
      <c r="M128" s="17"/>
      <c r="N128" s="17"/>
      <c r="O128" s="17"/>
      <c r="P128" s="54" t="s">
        <v>1618</v>
      </c>
      <c r="Q128" s="54" t="s">
        <v>1968</v>
      </c>
      <c r="R128" s="17"/>
      <c r="S128" s="54" t="s">
        <v>1589</v>
      </c>
      <c r="T128" s="54" t="s">
        <v>1546</v>
      </c>
      <c r="U128" s="54" t="s">
        <v>1936</v>
      </c>
      <c r="V128" s="54" t="s">
        <v>1825</v>
      </c>
      <c r="W128" s="54" t="s">
        <v>1549</v>
      </c>
    </row>
    <row r="129" spans="1:23" ht="26.25" hidden="1" customHeight="1">
      <c r="A129" s="54" t="s">
        <v>1940</v>
      </c>
      <c r="B129" s="17"/>
      <c r="C129" s="17"/>
      <c r="D129" s="54" t="s">
        <v>2100</v>
      </c>
      <c r="E129" s="54"/>
      <c r="F129" s="54" t="s">
        <v>1755</v>
      </c>
      <c r="G129" s="54" t="s">
        <v>1782</v>
      </c>
      <c r="H129" s="54" t="s">
        <v>2125</v>
      </c>
      <c r="I129" s="54" t="s">
        <v>2012</v>
      </c>
      <c r="J129" s="17"/>
      <c r="K129" s="17"/>
      <c r="L129" s="17"/>
      <c r="M129" s="17"/>
      <c r="N129" s="17"/>
      <c r="O129" s="17" t="s">
        <v>2020</v>
      </c>
      <c r="P129" s="39" t="s">
        <v>1746</v>
      </c>
      <c r="Q129" s="54" t="s">
        <v>1976</v>
      </c>
      <c r="R129" s="17"/>
      <c r="S129" s="54" t="s">
        <v>1609</v>
      </c>
      <c r="T129" s="56" t="s">
        <v>1563</v>
      </c>
      <c r="U129" s="54" t="s">
        <v>1957</v>
      </c>
      <c r="V129" s="54" t="s">
        <v>1824</v>
      </c>
      <c r="W129" s="54" t="s">
        <v>1555</v>
      </c>
    </row>
    <row r="130" spans="1:23" ht="26.25" hidden="1" customHeight="1">
      <c r="A130" s="54" t="s">
        <v>1954</v>
      </c>
      <c r="B130" s="17"/>
      <c r="C130" s="17"/>
      <c r="D130" s="54" t="s">
        <v>2113</v>
      </c>
      <c r="E130" s="17"/>
      <c r="F130" s="54" t="s">
        <v>1754</v>
      </c>
      <c r="G130" s="54" t="s">
        <v>1821</v>
      </c>
      <c r="H130" s="54" t="s">
        <v>1938</v>
      </c>
      <c r="I130" s="54" t="s">
        <v>2013</v>
      </c>
      <c r="J130" s="17"/>
      <c r="K130" s="17"/>
      <c r="L130" s="17"/>
      <c r="M130" s="17"/>
      <c r="N130" s="17"/>
      <c r="O130" s="17"/>
      <c r="P130" s="39" t="s">
        <v>1985</v>
      </c>
      <c r="Q130" s="54" t="s">
        <v>1987</v>
      </c>
      <c r="R130" s="17"/>
      <c r="S130" s="54" t="s">
        <v>1632</v>
      </c>
      <c r="T130" s="55" t="s">
        <v>1564</v>
      </c>
      <c r="U130" s="54" t="s">
        <v>2126</v>
      </c>
      <c r="V130" s="54" t="s">
        <v>1827</v>
      </c>
      <c r="W130" s="54" t="s">
        <v>1554</v>
      </c>
    </row>
    <row r="131" spans="1:23" ht="26.25" hidden="1" customHeight="1">
      <c r="A131" s="54" t="s">
        <v>1974</v>
      </c>
      <c r="B131" s="17"/>
      <c r="C131" s="17"/>
      <c r="D131" s="17"/>
      <c r="E131" s="17"/>
      <c r="F131" s="54" t="s">
        <v>1753</v>
      </c>
      <c r="G131" s="54" t="s">
        <v>1925</v>
      </c>
      <c r="H131" s="54" t="s">
        <v>1939</v>
      </c>
      <c r="I131" s="39" t="s">
        <v>2014</v>
      </c>
      <c r="J131" s="17"/>
      <c r="K131" s="17"/>
      <c r="L131" s="17"/>
      <c r="M131" s="17"/>
      <c r="N131" s="17"/>
      <c r="O131" s="17"/>
      <c r="P131" s="54" t="s">
        <v>2094</v>
      </c>
      <c r="Q131" s="54" t="s">
        <v>2067</v>
      </c>
      <c r="R131" s="17"/>
      <c r="S131" s="54" t="s">
        <v>1643</v>
      </c>
      <c r="T131" s="54" t="s">
        <v>1577</v>
      </c>
      <c r="U131" s="54"/>
      <c r="V131" s="54" t="s">
        <v>1905</v>
      </c>
      <c r="W131" s="54" t="s">
        <v>1570</v>
      </c>
    </row>
    <row r="132" spans="1:23" ht="26.25" hidden="1" customHeight="1">
      <c r="A132" s="54" t="s">
        <v>2057</v>
      </c>
      <c r="B132" s="17"/>
      <c r="C132" s="17"/>
      <c r="D132" s="17"/>
      <c r="E132" s="17"/>
      <c r="F132" s="54" t="s">
        <v>1757</v>
      </c>
      <c r="G132" s="54" t="s">
        <v>1965</v>
      </c>
      <c r="H132" s="54" t="s">
        <v>1941</v>
      </c>
      <c r="I132" s="54"/>
      <c r="J132" s="17"/>
      <c r="K132" s="17"/>
      <c r="L132" s="17"/>
      <c r="M132" s="17"/>
      <c r="N132" s="17"/>
      <c r="O132" s="17"/>
      <c r="P132" s="54" t="s">
        <v>2095</v>
      </c>
      <c r="Q132" s="54"/>
      <c r="R132" s="17"/>
      <c r="S132" s="54" t="s">
        <v>1644</v>
      </c>
      <c r="T132" s="54" t="s">
        <v>1590</v>
      </c>
      <c r="U132" s="17"/>
      <c r="V132" s="54" t="s">
        <v>1911</v>
      </c>
      <c r="W132" s="54" t="s">
        <v>1593</v>
      </c>
    </row>
    <row r="133" spans="1:23" ht="26.25" hidden="1" customHeight="1">
      <c r="A133" s="54"/>
      <c r="B133" s="17"/>
      <c r="C133" s="17"/>
      <c r="D133" s="17"/>
      <c r="E133" s="17"/>
      <c r="F133" s="54" t="s">
        <v>1758</v>
      </c>
      <c r="G133" s="54" t="s">
        <v>2016</v>
      </c>
      <c r="H133" s="54" t="s">
        <v>1975</v>
      </c>
      <c r="I133" s="17"/>
      <c r="J133" s="17"/>
      <c r="K133" s="17"/>
      <c r="L133" s="17"/>
      <c r="M133" s="17"/>
      <c r="N133" s="17"/>
      <c r="O133" s="17"/>
      <c r="P133" s="54" t="s">
        <v>2115</v>
      </c>
      <c r="Q133" s="17"/>
      <c r="R133" s="17"/>
      <c r="S133" s="54" t="s">
        <v>1702</v>
      </c>
      <c r="T133" s="56" t="s">
        <v>1663</v>
      </c>
      <c r="U133" s="17"/>
      <c r="V133" s="54" t="s">
        <v>1958</v>
      </c>
      <c r="W133" s="54" t="s">
        <v>1610</v>
      </c>
    </row>
    <row r="134" spans="1:23" ht="26.25" hidden="1" customHeight="1">
      <c r="A134" s="17"/>
      <c r="B134" s="17"/>
      <c r="C134" s="17"/>
      <c r="D134" s="17"/>
      <c r="E134" s="17"/>
      <c r="F134" s="54" t="s">
        <v>1761</v>
      </c>
      <c r="G134" s="54" t="s">
        <v>2037</v>
      </c>
      <c r="H134" s="58" t="s">
        <v>2005</v>
      </c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54" t="s">
        <v>1763</v>
      </c>
      <c r="T134" s="54" t="s">
        <v>1674</v>
      </c>
      <c r="U134" s="17"/>
      <c r="V134" s="54" t="s">
        <v>1959</v>
      </c>
      <c r="W134" s="54" t="s">
        <v>1634</v>
      </c>
    </row>
    <row r="135" spans="1:23" ht="26.25" hidden="1" customHeight="1">
      <c r="A135" s="17"/>
      <c r="B135" s="17"/>
      <c r="C135" s="17"/>
      <c r="D135" s="17"/>
      <c r="E135" s="17"/>
      <c r="F135" s="54" t="s">
        <v>1771</v>
      </c>
      <c r="G135" s="54" t="s">
        <v>2036</v>
      </c>
      <c r="H135" s="58" t="s">
        <v>2006</v>
      </c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54" t="s">
        <v>1802</v>
      </c>
      <c r="T135" s="54" t="s">
        <v>1701</v>
      </c>
      <c r="U135" s="17"/>
      <c r="V135" s="54" t="s">
        <v>1990</v>
      </c>
      <c r="W135" s="54" t="s">
        <v>1633</v>
      </c>
    </row>
    <row r="136" spans="1:23" ht="26.25" hidden="1" customHeight="1">
      <c r="A136" s="17"/>
      <c r="B136" s="17"/>
      <c r="C136" s="17"/>
      <c r="D136" s="17"/>
      <c r="E136" s="17"/>
      <c r="F136" s="54" t="s">
        <v>1781</v>
      </c>
      <c r="G136" s="54" t="s">
        <v>2035</v>
      </c>
      <c r="H136" s="54" t="s">
        <v>2018</v>
      </c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54" t="s">
        <v>1915</v>
      </c>
      <c r="T136" s="54" t="s">
        <v>1773</v>
      </c>
      <c r="U136" s="17"/>
      <c r="V136" s="54" t="s">
        <v>2008</v>
      </c>
      <c r="W136" s="54" t="s">
        <v>1675</v>
      </c>
    </row>
    <row r="137" spans="1:23" ht="26.25" hidden="1" customHeight="1">
      <c r="A137" s="17"/>
      <c r="B137" s="17"/>
      <c r="C137" s="17"/>
      <c r="D137" s="17"/>
      <c r="E137" s="17"/>
      <c r="F137" s="54" t="s">
        <v>1780</v>
      </c>
      <c r="G137" s="54" t="s">
        <v>2038</v>
      </c>
      <c r="H137" s="54" t="s">
        <v>2017</v>
      </c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54" t="s">
        <v>1935</v>
      </c>
      <c r="T137" s="54" t="s">
        <v>1910</v>
      </c>
      <c r="U137" s="17"/>
      <c r="V137" s="54" t="s">
        <v>2126</v>
      </c>
      <c r="W137" s="54" t="s">
        <v>1691</v>
      </c>
    </row>
    <row r="138" spans="1:23" ht="26.25" hidden="1" customHeight="1">
      <c r="A138" s="17"/>
      <c r="B138" s="17"/>
      <c r="C138" s="17"/>
      <c r="D138" s="17"/>
      <c r="E138" s="17"/>
      <c r="F138" s="54" t="s">
        <v>1779</v>
      </c>
      <c r="G138" s="54" t="s">
        <v>2041</v>
      </c>
      <c r="H138" s="54" t="s">
        <v>2047</v>
      </c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54" t="s">
        <v>1988</v>
      </c>
      <c r="T138" s="54" t="s">
        <v>1956</v>
      </c>
      <c r="U138" s="17"/>
      <c r="V138" s="54" t="s">
        <v>2058</v>
      </c>
      <c r="W138" s="54" t="s">
        <v>1700</v>
      </c>
    </row>
    <row r="139" spans="1:23" ht="26.25" hidden="1" customHeight="1">
      <c r="A139" s="17"/>
      <c r="B139" s="17"/>
      <c r="C139" s="17"/>
      <c r="D139" s="17"/>
      <c r="E139" s="17"/>
      <c r="F139" s="54" t="s">
        <v>1815</v>
      </c>
      <c r="G139" s="54" t="s">
        <v>2089</v>
      </c>
      <c r="H139" s="55" t="s">
        <v>2068</v>
      </c>
      <c r="I139" s="17"/>
      <c r="J139" s="17"/>
      <c r="K139" s="17"/>
      <c r="L139" s="17"/>
      <c r="M139" s="17"/>
      <c r="N139" s="17"/>
      <c r="O139" s="17"/>
      <c r="P139" s="17"/>
      <c r="Q139" s="17"/>
      <c r="S139" s="58" t="s">
        <v>2021</v>
      </c>
      <c r="T139" s="54" t="s">
        <v>1955</v>
      </c>
      <c r="U139" s="17"/>
      <c r="V139" s="54" t="s">
        <v>2066</v>
      </c>
      <c r="W139" s="54" t="s">
        <v>1742</v>
      </c>
    </row>
    <row r="140" spans="1:23" ht="26.25" hidden="1" customHeight="1">
      <c r="A140" s="17"/>
      <c r="B140" s="17"/>
      <c r="C140" s="17"/>
      <c r="D140" s="17"/>
      <c r="E140" s="17"/>
      <c r="F140" s="54" t="s">
        <v>1814</v>
      </c>
      <c r="G140" s="54" t="s">
        <v>2114</v>
      </c>
      <c r="H140" s="54" t="s">
        <v>2090</v>
      </c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54" t="s">
        <v>2056</v>
      </c>
      <c r="T140" s="54" t="s">
        <v>1967</v>
      </c>
      <c r="U140" s="17"/>
      <c r="V140" s="54"/>
      <c r="W140" s="54" t="s">
        <v>1743</v>
      </c>
    </row>
    <row r="141" spans="1:23" ht="26.25" hidden="1" customHeight="1">
      <c r="A141" s="17"/>
      <c r="B141" s="17"/>
      <c r="C141" s="17"/>
      <c r="D141" s="17"/>
      <c r="E141" s="17"/>
      <c r="F141" s="39" t="s">
        <v>1985</v>
      </c>
      <c r="G141" s="17"/>
      <c r="H141" s="54" t="s">
        <v>2102</v>
      </c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54"/>
      <c r="T141" s="54" t="s">
        <v>1969</v>
      </c>
      <c r="U141" s="17"/>
      <c r="V141" s="47"/>
      <c r="W141" s="54" t="s">
        <v>1772</v>
      </c>
    </row>
    <row r="142" spans="1:23" ht="26.25" hidden="1" customHeight="1">
      <c r="A142" s="17"/>
      <c r="B142" s="17"/>
      <c r="C142" s="17"/>
      <c r="D142" s="17"/>
      <c r="E142" s="17"/>
      <c r="F142" s="54" t="s">
        <v>2088</v>
      </c>
      <c r="G142" s="17"/>
      <c r="H142" s="54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47"/>
      <c r="T142" s="54" t="s">
        <v>1977</v>
      </c>
      <c r="U142" s="17"/>
      <c r="V142" s="17"/>
      <c r="W142" s="54" t="s">
        <v>1828</v>
      </c>
    </row>
    <row r="143" spans="1:23" ht="26.25" hidden="1" customHeight="1">
      <c r="A143" s="17"/>
      <c r="B143" s="17"/>
      <c r="C143" s="17"/>
      <c r="D143" s="17"/>
      <c r="E143" s="17"/>
      <c r="F143" s="54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54" t="s">
        <v>1978</v>
      </c>
      <c r="U143" s="17"/>
      <c r="V143" s="17"/>
      <c r="W143" s="54" t="s">
        <v>1901</v>
      </c>
    </row>
    <row r="144" spans="1:23" ht="26.25" hidden="1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54" t="s">
        <v>1989</v>
      </c>
      <c r="U144" s="17"/>
      <c r="V144" s="17"/>
      <c r="W144" s="54" t="s">
        <v>1937</v>
      </c>
    </row>
    <row r="145" spans="1:23" ht="26.25" hidden="1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54" t="s">
        <v>2001</v>
      </c>
      <c r="U145" s="17"/>
      <c r="V145" s="17"/>
      <c r="W145" s="54" t="s">
        <v>1961</v>
      </c>
    </row>
    <row r="146" spans="1:23" ht="26.25" hidden="1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58" t="s">
        <v>2022</v>
      </c>
      <c r="U146" s="17"/>
      <c r="V146" s="17"/>
      <c r="W146" s="54" t="s">
        <v>1960</v>
      </c>
    </row>
    <row r="147" spans="1:23" ht="26.25" hidden="1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54"/>
      <c r="U147" s="17"/>
      <c r="V147" s="17"/>
      <c r="W147" s="54" t="s">
        <v>2002</v>
      </c>
    </row>
    <row r="148" spans="1:23" ht="26.25" hidden="1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29"/>
      <c r="U148" s="29"/>
      <c r="V148" s="17"/>
      <c r="W148" s="55" t="s">
        <v>2011</v>
      </c>
    </row>
    <row r="149" spans="1:23" ht="26.25" hidden="1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54" t="s">
        <v>2065</v>
      </c>
    </row>
    <row r="150" spans="1:23" ht="26.25" hidden="1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54" t="s">
        <v>2059</v>
      </c>
    </row>
    <row r="151" spans="1:23" ht="26.25" hidden="1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54" t="s">
        <v>2060</v>
      </c>
    </row>
    <row r="152" spans="1:23" ht="26.25" hidden="1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55" t="s">
        <v>2069</v>
      </c>
    </row>
    <row r="153" spans="1:23" ht="26.25" hidden="1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54" t="s">
        <v>2091</v>
      </c>
    </row>
    <row r="154" spans="1:23" ht="26.25" hidden="1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59" t="s">
        <v>2101</v>
      </c>
    </row>
    <row r="155" spans="1:23" s="53" customFormat="1" ht="26.25" hidden="1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</row>
    <row r="156" spans="1:23" ht="26.25" hidden="1" customHeight="1">
      <c r="A156" s="54" t="s">
        <v>2129</v>
      </c>
      <c r="B156" s="54" t="s">
        <v>2129</v>
      </c>
      <c r="C156" s="54" t="s">
        <v>2117</v>
      </c>
      <c r="D156" s="54" t="s">
        <v>2116</v>
      </c>
      <c r="E156" s="54" t="s">
        <v>2100</v>
      </c>
      <c r="F156" s="54" t="s">
        <v>2180</v>
      </c>
      <c r="G156" s="54" t="s">
        <v>2134</v>
      </c>
      <c r="H156" s="54" t="s">
        <v>2135</v>
      </c>
      <c r="I156" s="54" t="s">
        <v>2046</v>
      </c>
      <c r="J156" s="54" t="s">
        <v>2046</v>
      </c>
      <c r="K156" s="54" t="s">
        <v>2046</v>
      </c>
      <c r="L156" s="54" t="s">
        <v>2287</v>
      </c>
      <c r="M156" s="54" t="s">
        <v>2288</v>
      </c>
      <c r="N156" s="54" t="s">
        <v>2622</v>
      </c>
      <c r="O156" s="54" t="s">
        <v>2623</v>
      </c>
      <c r="P156" s="54" t="s">
        <v>2225</v>
      </c>
      <c r="Q156" s="54" t="s">
        <v>2142</v>
      </c>
      <c r="R156" s="54" t="s">
        <v>2039</v>
      </c>
      <c r="S156" s="54" t="s">
        <v>2110</v>
      </c>
      <c r="T156" s="54" t="s">
        <v>2155</v>
      </c>
      <c r="U156" s="54" t="s">
        <v>2222</v>
      </c>
      <c r="V156" s="54" t="s">
        <v>2111</v>
      </c>
      <c r="W156" s="54" t="s">
        <v>2109</v>
      </c>
    </row>
    <row r="157" spans="1:23" ht="26.25" hidden="1" customHeight="1">
      <c r="A157" s="54" t="s">
        <v>2173</v>
      </c>
      <c r="B157" s="54" t="s">
        <v>2243</v>
      </c>
      <c r="C157" s="54" t="s">
        <v>2130</v>
      </c>
      <c r="D157" s="54" t="s">
        <v>2133</v>
      </c>
      <c r="E157" s="54" t="s">
        <v>2121</v>
      </c>
      <c r="F157" s="54" t="s">
        <v>2381</v>
      </c>
      <c r="G157" s="54" t="s">
        <v>2164</v>
      </c>
      <c r="H157" s="54" t="s">
        <v>2140</v>
      </c>
      <c r="I157" s="54" t="s">
        <v>2209</v>
      </c>
      <c r="J157" s="54" t="s">
        <v>2187</v>
      </c>
      <c r="K157" s="54" t="s">
        <v>2118</v>
      </c>
      <c r="L157" s="54" t="s">
        <v>2459</v>
      </c>
      <c r="M157" s="54" t="s">
        <v>2413</v>
      </c>
      <c r="N157" s="54" t="s">
        <v>2647</v>
      </c>
      <c r="O157" s="54" t="s">
        <v>2766</v>
      </c>
      <c r="P157" s="54" t="s">
        <v>2236</v>
      </c>
      <c r="Q157" s="54" t="s">
        <v>2166</v>
      </c>
      <c r="R157" s="54" t="s">
        <v>2136</v>
      </c>
      <c r="S157" s="55" t="s">
        <v>2182</v>
      </c>
      <c r="T157" s="54" t="s">
        <v>2290</v>
      </c>
      <c r="U157" s="54" t="s">
        <v>2303</v>
      </c>
      <c r="V157" s="55" t="s">
        <v>2183</v>
      </c>
      <c r="W157" s="54" t="s">
        <v>2137</v>
      </c>
    </row>
    <row r="158" spans="1:23" ht="26.25" hidden="1" customHeight="1">
      <c r="A158" s="54" t="s">
        <v>2177</v>
      </c>
      <c r="B158" s="54" t="s">
        <v>2326</v>
      </c>
      <c r="C158" s="54" t="s">
        <v>2197</v>
      </c>
      <c r="D158" s="54" t="s">
        <v>2141</v>
      </c>
      <c r="E158" s="54" t="s">
        <v>2127</v>
      </c>
      <c r="F158" s="54" t="s">
        <v>2414</v>
      </c>
      <c r="G158" s="54" t="s">
        <v>2181</v>
      </c>
      <c r="H158" s="54" t="s">
        <v>2153</v>
      </c>
      <c r="I158" s="54" t="s">
        <v>2188</v>
      </c>
      <c r="J158" s="54" t="s">
        <v>2235</v>
      </c>
      <c r="K158" s="54" t="s">
        <v>2259</v>
      </c>
      <c r="L158" s="54" t="s">
        <v>2465</v>
      </c>
      <c r="M158" s="54" t="s">
        <v>2490</v>
      </c>
      <c r="N158" s="54" t="s">
        <v>2681</v>
      </c>
      <c r="O158" s="54" t="s">
        <v>2799</v>
      </c>
      <c r="P158" s="54" t="s">
        <v>2592</v>
      </c>
      <c r="Q158" s="54" t="s">
        <v>2226</v>
      </c>
      <c r="R158" s="54" t="s">
        <v>2154</v>
      </c>
      <c r="S158" s="54" t="s">
        <v>2240</v>
      </c>
      <c r="T158" s="54" t="s">
        <v>2364</v>
      </c>
      <c r="U158" s="54" t="s">
        <v>2378</v>
      </c>
      <c r="V158" s="54" t="s">
        <v>2283</v>
      </c>
      <c r="W158" s="54" t="s">
        <v>2167</v>
      </c>
    </row>
    <row r="159" spans="1:23" ht="26.25" hidden="1" customHeight="1">
      <c r="A159" s="54" t="s">
        <v>2221</v>
      </c>
      <c r="B159" s="54" t="s">
        <v>2638</v>
      </c>
      <c r="C159" s="54" t="s">
        <v>2279</v>
      </c>
      <c r="D159" s="54" t="s">
        <v>2178</v>
      </c>
      <c r="E159" s="54" t="s">
        <v>2179</v>
      </c>
      <c r="F159" s="54" t="s">
        <v>2484</v>
      </c>
      <c r="G159" s="54" t="s">
        <v>2199</v>
      </c>
      <c r="H159" s="54" t="s">
        <v>2165</v>
      </c>
      <c r="I159" s="54" t="s">
        <v>2252</v>
      </c>
      <c r="J159" s="54" t="s">
        <v>2352</v>
      </c>
      <c r="K159" s="54" t="s">
        <v>2266</v>
      </c>
      <c r="L159" s="54" t="s">
        <v>2512</v>
      </c>
      <c r="M159" s="54" t="s">
        <v>2541</v>
      </c>
      <c r="N159" s="54" t="s">
        <v>2717</v>
      </c>
      <c r="O159" s="54" t="s">
        <v>2812</v>
      </c>
      <c r="P159" s="54" t="s">
        <v>2766</v>
      </c>
      <c r="Q159" s="54" t="s">
        <v>2228</v>
      </c>
      <c r="R159" s="54" t="s">
        <v>2237</v>
      </c>
      <c r="S159" s="54" t="s">
        <v>2261</v>
      </c>
      <c r="T159" s="54" t="s">
        <v>2416</v>
      </c>
      <c r="U159" s="55" t="s">
        <v>2384</v>
      </c>
      <c r="V159" s="54" t="s">
        <v>2328</v>
      </c>
      <c r="W159" s="54" t="s">
        <v>2379</v>
      </c>
    </row>
    <row r="160" spans="1:23" ht="26.25" hidden="1" customHeight="1">
      <c r="A160" s="54" t="s">
        <v>2210</v>
      </c>
      <c r="B160" s="54" t="s">
        <v>2817</v>
      </c>
      <c r="C160" s="54" t="s">
        <v>2298</v>
      </c>
      <c r="D160" s="54" t="s">
        <v>2189</v>
      </c>
      <c r="E160" s="54" t="s">
        <v>2362</v>
      </c>
      <c r="F160" s="54" t="s">
        <v>2591</v>
      </c>
      <c r="G160" s="54" t="s">
        <v>2291</v>
      </c>
      <c r="H160" s="54" t="s">
        <v>2200</v>
      </c>
      <c r="I160" s="54" t="s">
        <v>2352</v>
      </c>
      <c r="J160" s="54" t="s">
        <v>2427</v>
      </c>
      <c r="K160" s="54" t="s">
        <v>2282</v>
      </c>
      <c r="L160" s="54" t="s">
        <v>2611</v>
      </c>
      <c r="M160" s="54" t="s">
        <v>2573</v>
      </c>
      <c r="N160" s="54" t="s">
        <v>2729</v>
      </c>
      <c r="O160" s="54" t="s">
        <v>2802</v>
      </c>
      <c r="P160" s="54" t="s">
        <v>3014</v>
      </c>
      <c r="Q160" s="54" t="s">
        <v>2253</v>
      </c>
      <c r="R160" s="54" t="s">
        <v>2251</v>
      </c>
      <c r="S160" s="54" t="s">
        <v>2325</v>
      </c>
      <c r="T160" s="54" t="s">
        <v>2751</v>
      </c>
      <c r="U160" s="55" t="s">
        <v>2385</v>
      </c>
      <c r="V160" s="54" t="s">
        <v>2351</v>
      </c>
      <c r="W160" s="54" t="s">
        <v>2423</v>
      </c>
    </row>
    <row r="161" spans="1:23" ht="26.25" hidden="1" customHeight="1">
      <c r="A161" s="54" t="s">
        <v>2223</v>
      </c>
      <c r="B161" s="54" t="s">
        <v>2847</v>
      </c>
      <c r="C161" s="54" t="s">
        <v>2301</v>
      </c>
      <c r="D161" s="54" t="s">
        <v>2198</v>
      </c>
      <c r="E161" s="54" t="s">
        <v>2380</v>
      </c>
      <c r="F161" s="54" t="s">
        <v>2608</v>
      </c>
      <c r="G161" s="54" t="s">
        <v>2286</v>
      </c>
      <c r="H161" s="54" t="s">
        <v>2224</v>
      </c>
      <c r="I161" s="54" t="s">
        <v>2392</v>
      </c>
      <c r="J161" s="54" t="s">
        <v>2461</v>
      </c>
      <c r="K161" s="54" t="s">
        <v>2347</v>
      </c>
      <c r="L161" s="54" t="s">
        <v>2636</v>
      </c>
      <c r="M161" s="54" t="s">
        <v>2593</v>
      </c>
      <c r="N161" s="54" t="s">
        <v>2730</v>
      </c>
      <c r="O161" s="54" t="s">
        <v>2828</v>
      </c>
      <c r="P161" s="54" t="s">
        <v>3036</v>
      </c>
      <c r="Q161" s="54" t="s">
        <v>2254</v>
      </c>
      <c r="R161" s="54" t="s">
        <v>2545</v>
      </c>
      <c r="S161" s="54" t="s">
        <v>2415</v>
      </c>
      <c r="T161" s="54" t="s">
        <v>2775</v>
      </c>
      <c r="U161" s="54" t="s">
        <v>2393</v>
      </c>
      <c r="V161" s="54" t="s">
        <v>2363</v>
      </c>
      <c r="W161" s="54" t="s">
        <v>2460</v>
      </c>
    </row>
    <row r="162" spans="1:23" ht="26.25" hidden="1" customHeight="1">
      <c r="A162" s="54" t="s">
        <v>2233</v>
      </c>
      <c r="B162" s="54" t="s">
        <v>2863</v>
      </c>
      <c r="C162" s="54" t="s">
        <v>2315</v>
      </c>
      <c r="D162" s="54" t="s">
        <v>2234</v>
      </c>
      <c r="E162" s="54" t="s">
        <v>2442</v>
      </c>
      <c r="F162" s="54" t="s">
        <v>2633</v>
      </c>
      <c r="G162" s="54" t="s">
        <v>2302</v>
      </c>
      <c r="H162" s="54" t="s">
        <v>2281</v>
      </c>
      <c r="I162" s="54" t="s">
        <v>2514</v>
      </c>
      <c r="J162" s="54" t="s">
        <v>2485</v>
      </c>
      <c r="K162" s="54" t="s">
        <v>2346</v>
      </c>
      <c r="L162" s="54" t="s">
        <v>2657</v>
      </c>
      <c r="M162" s="54" t="s">
        <v>2646</v>
      </c>
      <c r="N162" s="54" t="s">
        <v>2750</v>
      </c>
      <c r="O162" s="54" t="s">
        <v>2839</v>
      </c>
      <c r="P162" s="54" t="s">
        <v>3026</v>
      </c>
      <c r="Q162" s="54" t="s">
        <v>2260</v>
      </c>
      <c r="R162" s="54" t="s">
        <v>2624</v>
      </c>
      <c r="S162" s="54" t="s">
        <v>2708</v>
      </c>
      <c r="T162" s="54" t="s">
        <v>2814</v>
      </c>
      <c r="U162" s="54" t="s">
        <v>2397</v>
      </c>
      <c r="V162" s="54" t="s">
        <v>2386</v>
      </c>
      <c r="W162" s="54" t="s">
        <v>2486</v>
      </c>
    </row>
    <row r="163" spans="1:23" ht="26.25" hidden="1" customHeight="1">
      <c r="A163" s="54" t="s">
        <v>2324</v>
      </c>
      <c r="B163" s="54" t="s">
        <v>2921</v>
      </c>
      <c r="C163" s="54" t="s">
        <v>2638</v>
      </c>
      <c r="D163" s="54" t="s">
        <v>2280</v>
      </c>
      <c r="E163" s="54" t="s">
        <v>2457</v>
      </c>
      <c r="F163" s="54" t="s">
        <v>2644</v>
      </c>
      <c r="G163" s="54" t="s">
        <v>2305</v>
      </c>
      <c r="H163" s="54" t="s">
        <v>2323</v>
      </c>
      <c r="I163" s="54" t="s">
        <v>2539</v>
      </c>
      <c r="J163" s="54" t="s">
        <v>2499</v>
      </c>
      <c r="K163" s="54" t="s">
        <v>2361</v>
      </c>
      <c r="L163" s="54" t="s">
        <v>2664</v>
      </c>
      <c r="M163" s="54" t="s">
        <v>2660</v>
      </c>
      <c r="N163" s="55" t="s">
        <v>2798</v>
      </c>
      <c r="O163" s="54" t="s">
        <v>2849</v>
      </c>
      <c r="P163" s="39"/>
      <c r="Q163" s="54" t="s">
        <v>2289</v>
      </c>
      <c r="R163" s="54" t="s">
        <v>2648</v>
      </c>
      <c r="S163" s="54" t="s">
        <v>2753</v>
      </c>
      <c r="T163" s="54" t="s">
        <v>2840</v>
      </c>
      <c r="U163" s="54" t="s">
        <v>2403</v>
      </c>
      <c r="V163" s="54" t="s">
        <v>2394</v>
      </c>
      <c r="W163" s="54" t="s">
        <v>2487</v>
      </c>
    </row>
    <row r="164" spans="1:23" ht="26.25" hidden="1" customHeight="1">
      <c r="A164" s="54" t="s">
        <v>2343</v>
      </c>
      <c r="B164" s="54" t="s">
        <v>2942</v>
      </c>
      <c r="C164" s="54" t="s">
        <v>2817</v>
      </c>
      <c r="D164" s="54" t="s">
        <v>2304</v>
      </c>
      <c r="E164" s="54" t="s">
        <v>2464</v>
      </c>
      <c r="F164" s="54" t="s">
        <v>2659</v>
      </c>
      <c r="G164" s="54" t="s">
        <v>2317</v>
      </c>
      <c r="H164" s="54" t="s">
        <v>2327</v>
      </c>
      <c r="I164" s="54" t="s">
        <v>2566</v>
      </c>
      <c r="J164" s="54" t="s">
        <v>2508</v>
      </c>
      <c r="K164" s="54" t="s">
        <v>2402</v>
      </c>
      <c r="L164" s="54" t="s">
        <v>2699</v>
      </c>
      <c r="M164" s="54" t="s">
        <v>2680</v>
      </c>
      <c r="N164" s="54" t="s">
        <v>2811</v>
      </c>
      <c r="O164" s="54" t="s">
        <v>2841</v>
      </c>
      <c r="P164" s="17"/>
      <c r="Q164" s="54" t="s">
        <v>2412</v>
      </c>
      <c r="R164" s="54" t="s">
        <v>2678</v>
      </c>
      <c r="S164" s="54" t="s">
        <v>3172</v>
      </c>
      <c r="T164" s="54" t="s">
        <v>2850</v>
      </c>
      <c r="U164" s="54" t="s">
        <v>2422</v>
      </c>
      <c r="V164" s="54" t="s">
        <v>2387</v>
      </c>
      <c r="W164" s="54" t="s">
        <v>2496</v>
      </c>
    </row>
    <row r="165" spans="1:23" ht="26.25" hidden="1" customHeight="1">
      <c r="A165" s="54" t="s">
        <v>2462</v>
      </c>
      <c r="B165" s="54" t="s">
        <v>2956</v>
      </c>
      <c r="C165" s="54" t="s">
        <v>2823</v>
      </c>
      <c r="D165" s="54" t="s">
        <v>2316</v>
      </c>
      <c r="E165" s="54" t="s">
        <v>2607</v>
      </c>
      <c r="F165" s="54" t="s">
        <v>2658</v>
      </c>
      <c r="G165" s="54" t="s">
        <v>2345</v>
      </c>
      <c r="H165" s="54" t="s">
        <v>2349</v>
      </c>
      <c r="I165" s="54" t="s">
        <v>2578</v>
      </c>
      <c r="J165" s="54" t="s">
        <v>2527</v>
      </c>
      <c r="K165" s="54" t="s">
        <v>2410</v>
      </c>
      <c r="L165" s="54" t="s">
        <v>2715</v>
      </c>
      <c r="M165" s="54" t="s">
        <v>2716</v>
      </c>
      <c r="N165" s="54" t="s">
        <v>2818</v>
      </c>
      <c r="O165" s="54" t="s">
        <v>2842</v>
      </c>
      <c r="P165" s="17"/>
      <c r="Q165" s="54" t="s">
        <v>2707</v>
      </c>
      <c r="R165" s="54" t="s">
        <v>2787</v>
      </c>
      <c r="S165" s="54" t="s">
        <v>3225</v>
      </c>
      <c r="T165" s="54" t="s">
        <v>2911</v>
      </c>
      <c r="U165" s="54" t="s">
        <v>2447</v>
      </c>
      <c r="V165" s="54" t="s">
        <v>2411</v>
      </c>
      <c r="W165" s="54" t="s">
        <v>2503</v>
      </c>
    </row>
    <row r="166" spans="1:23" ht="26.25" hidden="1" customHeight="1">
      <c r="A166" s="54" t="s">
        <v>2483</v>
      </c>
      <c r="B166" s="39"/>
      <c r="C166" s="54" t="s">
        <v>2837</v>
      </c>
      <c r="D166" s="54" t="s">
        <v>2344</v>
      </c>
      <c r="E166" s="54" t="s">
        <v>2613</v>
      </c>
      <c r="F166" s="54" t="s">
        <v>2679</v>
      </c>
      <c r="G166" s="54" t="s">
        <v>2377</v>
      </c>
      <c r="H166" s="54" t="s">
        <v>2350</v>
      </c>
      <c r="I166" s="54" t="s">
        <v>2577</v>
      </c>
      <c r="J166" s="54" t="s">
        <v>2540</v>
      </c>
      <c r="K166" s="54" t="s">
        <v>2424</v>
      </c>
      <c r="L166" s="54" t="s">
        <v>3011</v>
      </c>
      <c r="M166" s="54" t="s">
        <v>3012</v>
      </c>
      <c r="N166" s="54" t="s">
        <v>2915</v>
      </c>
      <c r="O166" s="54" t="s">
        <v>2864</v>
      </c>
      <c r="P166" s="17"/>
      <c r="Q166" s="54" t="s">
        <v>2813</v>
      </c>
      <c r="R166" s="39" t="s">
        <v>3144</v>
      </c>
      <c r="S166" s="54" t="s">
        <v>3235</v>
      </c>
      <c r="T166" s="54" t="s">
        <v>2916</v>
      </c>
      <c r="U166" s="54" t="s">
        <v>2635</v>
      </c>
      <c r="V166" s="54" t="s">
        <v>2441</v>
      </c>
      <c r="W166" s="54" t="s">
        <v>2504</v>
      </c>
    </row>
    <row r="167" spans="1:23" ht="26.25" hidden="1" customHeight="1">
      <c r="A167" s="54" t="s">
        <v>2507</v>
      </c>
      <c r="B167" s="17"/>
      <c r="C167" s="54" t="s">
        <v>2848</v>
      </c>
      <c r="D167" s="54" t="s">
        <v>2638</v>
      </c>
      <c r="E167" s="54" t="s">
        <v>2632</v>
      </c>
      <c r="F167" s="54" t="s">
        <v>2713</v>
      </c>
      <c r="G167" s="54" t="s">
        <v>2391</v>
      </c>
      <c r="H167" s="54" t="s">
        <v>2382</v>
      </c>
      <c r="I167" s="54" t="s">
        <v>2581</v>
      </c>
      <c r="J167" s="54" t="s">
        <v>2547</v>
      </c>
      <c r="K167" s="54" t="s">
        <v>2428</v>
      </c>
      <c r="L167" s="55" t="s">
        <v>3021</v>
      </c>
      <c r="M167" s="39" t="s">
        <v>3444</v>
      </c>
      <c r="N167" s="54" t="s">
        <v>2944</v>
      </c>
      <c r="O167" s="54" t="s">
        <v>2910</v>
      </c>
      <c r="P167" s="17"/>
      <c r="Q167" s="54" t="s">
        <v>2949</v>
      </c>
      <c r="R167" s="54" t="s">
        <v>3192</v>
      </c>
      <c r="S167" s="54" t="s">
        <v>3400</v>
      </c>
      <c r="T167" s="55" t="s">
        <v>2945</v>
      </c>
      <c r="U167" s="54" t="s">
        <v>2815</v>
      </c>
      <c r="V167" s="54" t="s">
        <v>2431</v>
      </c>
      <c r="W167" s="54" t="s">
        <v>2506</v>
      </c>
    </row>
    <row r="168" spans="1:23" ht="26.25" hidden="1" customHeight="1">
      <c r="A168" s="54" t="s">
        <v>2544</v>
      </c>
      <c r="B168" s="17"/>
      <c r="C168" s="54" t="s">
        <v>2838</v>
      </c>
      <c r="D168" s="54" t="s">
        <v>2827</v>
      </c>
      <c r="E168" s="54" t="s">
        <v>2649</v>
      </c>
      <c r="F168" s="54" t="s">
        <v>2702</v>
      </c>
      <c r="G168" s="22" t="s">
        <v>2401</v>
      </c>
      <c r="H168" s="54" t="s">
        <v>2614</v>
      </c>
      <c r="I168" s="54" t="s">
        <v>2609</v>
      </c>
      <c r="J168" s="54" t="s">
        <v>2567</v>
      </c>
      <c r="K168" s="54" t="s">
        <v>2443</v>
      </c>
      <c r="L168" s="55" t="s">
        <v>3024</v>
      </c>
      <c r="M168" s="54"/>
      <c r="N168" s="55" t="s">
        <v>2958</v>
      </c>
      <c r="O168" s="54" t="s">
        <v>2959</v>
      </c>
      <c r="P168" s="17"/>
      <c r="Q168" s="54" t="s">
        <v>3037</v>
      </c>
      <c r="R168" s="54" t="s">
        <v>3201</v>
      </c>
      <c r="S168" s="54" t="s">
        <v>3453</v>
      </c>
      <c r="T168" s="54" t="s">
        <v>3193</v>
      </c>
      <c r="U168" s="54" t="s">
        <v>2860</v>
      </c>
      <c r="V168" s="54" t="s">
        <v>2899</v>
      </c>
      <c r="W168" s="54" t="s">
        <v>2513</v>
      </c>
    </row>
    <row r="169" spans="1:23" ht="26.25" hidden="1" customHeight="1">
      <c r="A169" s="54" t="s">
        <v>2590</v>
      </c>
      <c r="B169" s="17"/>
      <c r="C169" s="54" t="s">
        <v>2865</v>
      </c>
      <c r="D169" s="54" t="s">
        <v>2867</v>
      </c>
      <c r="E169" s="54" t="s">
        <v>2650</v>
      </c>
      <c r="F169" s="54" t="s">
        <v>2749</v>
      </c>
      <c r="G169" s="54" t="s">
        <v>2421</v>
      </c>
      <c r="H169" s="54" t="s">
        <v>2656</v>
      </c>
      <c r="I169" s="54" t="s">
        <v>2697</v>
      </c>
      <c r="J169" s="54" t="s">
        <v>2555</v>
      </c>
      <c r="K169" s="54" t="s">
        <v>2466</v>
      </c>
      <c r="L169" s="39" t="s">
        <v>3443</v>
      </c>
      <c r="M169" s="17"/>
      <c r="N169" s="55" t="s">
        <v>2970</v>
      </c>
      <c r="O169" s="54" t="s">
        <v>2971</v>
      </c>
      <c r="P169" s="17"/>
      <c r="Q169" s="54" t="s">
        <v>3009</v>
      </c>
      <c r="R169" s="54" t="s">
        <v>3203</v>
      </c>
      <c r="S169" s="54" t="s">
        <v>3411</v>
      </c>
      <c r="T169" s="54" t="s">
        <v>3258</v>
      </c>
      <c r="U169" s="54" t="s">
        <v>2912</v>
      </c>
      <c r="V169" s="54" t="s">
        <v>2869</v>
      </c>
      <c r="W169" s="54" t="s">
        <v>2526</v>
      </c>
    </row>
    <row r="170" spans="1:23" ht="26.25" hidden="1" customHeight="1">
      <c r="A170" s="54" t="s">
        <v>2620</v>
      </c>
      <c r="B170" s="17" t="s">
        <v>2172</v>
      </c>
      <c r="C170" s="54" t="s">
        <v>2866</v>
      </c>
      <c r="D170" s="54" t="s">
        <v>2909</v>
      </c>
      <c r="E170" s="54" t="s">
        <v>2701</v>
      </c>
      <c r="F170" s="54" t="s">
        <v>2764</v>
      </c>
      <c r="G170" s="54" t="s">
        <v>2440</v>
      </c>
      <c r="H170" s="54" t="s">
        <v>2714</v>
      </c>
      <c r="I170" s="39" t="s">
        <v>3273</v>
      </c>
      <c r="J170" s="54" t="s">
        <v>2572</v>
      </c>
      <c r="K170" s="54" t="s">
        <v>2444</v>
      </c>
      <c r="L170" s="54" t="s">
        <v>3461</v>
      </c>
      <c r="M170" s="17"/>
      <c r="N170" s="54" t="s">
        <v>3117</v>
      </c>
      <c r="O170" s="54" t="s">
        <v>3022</v>
      </c>
      <c r="P170" s="17"/>
      <c r="Q170" s="54" t="s">
        <v>3010</v>
      </c>
      <c r="R170" s="39"/>
      <c r="S170" s="54"/>
      <c r="T170" s="54" t="s">
        <v>3260</v>
      </c>
      <c r="U170" s="54" t="s">
        <v>2946</v>
      </c>
      <c r="V170" s="54" t="s">
        <v>2913</v>
      </c>
      <c r="W170" s="54" t="s">
        <v>2528</v>
      </c>
    </row>
    <row r="171" spans="1:23" ht="26.25" hidden="1" customHeight="1">
      <c r="A171" s="54" t="s">
        <v>2776</v>
      </c>
      <c r="B171" s="17"/>
      <c r="C171" s="54" t="s">
        <v>2943</v>
      </c>
      <c r="D171" s="54" t="s">
        <v>2969</v>
      </c>
      <c r="E171" s="54" t="s">
        <v>2851</v>
      </c>
      <c r="F171" s="54" t="s">
        <v>2797</v>
      </c>
      <c r="G171" s="54" t="s">
        <v>2458</v>
      </c>
      <c r="H171" s="39" t="s">
        <v>3273</v>
      </c>
      <c r="I171" s="54" t="s">
        <v>3374</v>
      </c>
      <c r="J171" s="54" t="s">
        <v>2610</v>
      </c>
      <c r="K171" s="54" t="s">
        <v>2445</v>
      </c>
      <c r="L171" s="39"/>
      <c r="M171" s="17"/>
      <c r="N171" s="54" t="s">
        <v>3300</v>
      </c>
      <c r="O171" s="39" t="s">
        <v>3444</v>
      </c>
      <c r="P171" s="17"/>
      <c r="Q171" s="54" t="s">
        <v>3049</v>
      </c>
      <c r="R171" s="17"/>
      <c r="S171" s="17"/>
      <c r="T171" s="54" t="s">
        <v>3261</v>
      </c>
      <c r="U171" s="54" t="s">
        <v>2972</v>
      </c>
      <c r="V171" s="54" t="s">
        <v>2947</v>
      </c>
      <c r="W171" s="54" t="s">
        <v>2542</v>
      </c>
    </row>
    <row r="172" spans="1:23" ht="26.25" hidden="1" customHeight="1">
      <c r="A172" s="54" t="s">
        <v>2862</v>
      </c>
      <c r="B172" s="17"/>
      <c r="C172" s="54" t="s">
        <v>2957</v>
      </c>
      <c r="D172" s="54" t="s">
        <v>2998</v>
      </c>
      <c r="E172" s="55" t="s">
        <v>2861</v>
      </c>
      <c r="F172" s="54" t="s">
        <v>2868</v>
      </c>
      <c r="G172" s="54" t="s">
        <v>2463</v>
      </c>
      <c r="H172" s="54"/>
      <c r="I172" s="39"/>
      <c r="J172" s="54" t="s">
        <v>2612</v>
      </c>
      <c r="K172" s="54" t="s">
        <v>2446</v>
      </c>
      <c r="L172" s="17"/>
      <c r="M172" s="17"/>
      <c r="N172" s="54" t="s">
        <v>3348</v>
      </c>
      <c r="O172" s="54"/>
      <c r="P172" s="17"/>
      <c r="Q172" s="54" t="s">
        <v>3066</v>
      </c>
      <c r="R172" s="17"/>
      <c r="S172" s="17" t="s">
        <v>2172</v>
      </c>
      <c r="T172" s="54" t="s">
        <v>3262</v>
      </c>
      <c r="U172" s="55" t="s">
        <v>2975</v>
      </c>
      <c r="V172" s="54" t="s">
        <v>2960</v>
      </c>
      <c r="W172" s="54" t="s">
        <v>2568</v>
      </c>
    </row>
    <row r="173" spans="1:23" ht="26.25" hidden="1" customHeight="1">
      <c r="A173" s="54" t="s">
        <v>3034</v>
      </c>
      <c r="B173" s="17"/>
      <c r="C173" s="54" t="s">
        <v>2980</v>
      </c>
      <c r="D173" s="54" t="s">
        <v>3019</v>
      </c>
      <c r="E173" s="54" t="s">
        <v>2914</v>
      </c>
      <c r="F173" s="54" t="s">
        <v>2981</v>
      </c>
      <c r="G173" s="54" t="s">
        <v>2497</v>
      </c>
      <c r="H173" s="17"/>
      <c r="I173" s="17"/>
      <c r="J173" s="54" t="s">
        <v>2627</v>
      </c>
      <c r="K173" s="54" t="s">
        <v>2482</v>
      </c>
      <c r="L173" s="17"/>
      <c r="M173" s="17"/>
      <c r="N173" s="55" t="s">
        <v>3358</v>
      </c>
      <c r="O173" s="17"/>
      <c r="P173" s="17"/>
      <c r="Q173" s="54" t="s">
        <v>3081</v>
      </c>
      <c r="R173" s="17"/>
      <c r="S173" s="17"/>
      <c r="T173" s="54" t="s">
        <v>3263</v>
      </c>
      <c r="U173" s="39" t="s">
        <v>3131</v>
      </c>
      <c r="V173" s="39" t="s">
        <v>3132</v>
      </c>
      <c r="W173" s="54" t="s">
        <v>2574</v>
      </c>
    </row>
    <row r="174" spans="1:23" ht="26.25" hidden="1" customHeight="1">
      <c r="A174" s="54" t="s">
        <v>3058</v>
      </c>
      <c r="B174" s="17"/>
      <c r="C174" s="54" t="s">
        <v>3048</v>
      </c>
      <c r="D174" s="54" t="s">
        <v>3041</v>
      </c>
      <c r="E174" s="54" t="s">
        <v>3027</v>
      </c>
      <c r="F174" s="55" t="s">
        <v>3020</v>
      </c>
      <c r="G174" s="54" t="s">
        <v>2498</v>
      </c>
      <c r="H174" s="17"/>
      <c r="I174" s="17"/>
      <c r="J174" s="54" t="s">
        <v>2628</v>
      </c>
      <c r="K174" s="54" t="s">
        <v>2481</v>
      </c>
      <c r="L174" s="17"/>
      <c r="M174" s="17"/>
      <c r="N174" s="54" t="s">
        <v>3371</v>
      </c>
      <c r="O174" s="17"/>
      <c r="P174" s="17"/>
      <c r="Q174" s="54" t="s">
        <v>3082</v>
      </c>
      <c r="R174" s="17"/>
      <c r="S174" s="17"/>
      <c r="T174" s="54" t="s">
        <v>3274</v>
      </c>
      <c r="U174" s="39"/>
      <c r="V174" s="39"/>
      <c r="W174" s="54" t="s">
        <v>2594</v>
      </c>
    </row>
    <row r="175" spans="1:23" ht="26.25" hidden="1" customHeight="1">
      <c r="A175" s="54" t="s">
        <v>3138</v>
      </c>
      <c r="B175" s="17"/>
      <c r="C175" s="54" t="s">
        <v>3064</v>
      </c>
      <c r="D175" s="54" t="s">
        <v>3045</v>
      </c>
      <c r="E175" s="54" t="s">
        <v>3104</v>
      </c>
      <c r="F175" s="54" t="s">
        <v>2962</v>
      </c>
      <c r="G175" s="54" t="s">
        <v>2510</v>
      </c>
      <c r="H175" s="17"/>
      <c r="I175" s="17"/>
      <c r="J175" s="54" t="s">
        <v>2634</v>
      </c>
      <c r="K175" s="54" t="s">
        <v>2488</v>
      </c>
      <c r="L175" s="17"/>
      <c r="M175" s="17"/>
      <c r="N175" s="54" t="s">
        <v>3381</v>
      </c>
      <c r="O175" s="17"/>
      <c r="P175" s="17"/>
      <c r="Q175" s="54" t="s">
        <v>3103</v>
      </c>
      <c r="R175" s="17"/>
      <c r="S175" s="17"/>
      <c r="T175" s="54" t="s">
        <v>3301</v>
      </c>
      <c r="U175" s="17"/>
      <c r="V175" s="17"/>
      <c r="W175" s="54" t="s">
        <v>2700</v>
      </c>
    </row>
    <row r="176" spans="1:23" ht="26.25" hidden="1" customHeight="1">
      <c r="A176" s="55" t="s">
        <v>3160</v>
      </c>
      <c r="B176" s="17"/>
      <c r="C176" s="54" t="s">
        <v>3079</v>
      </c>
      <c r="D176" s="54" t="s">
        <v>3105</v>
      </c>
      <c r="E176" s="54" t="s">
        <v>3114</v>
      </c>
      <c r="F176" s="54" t="s">
        <v>3035</v>
      </c>
      <c r="G176" s="54" t="s">
        <v>2511</v>
      </c>
      <c r="H176" s="17"/>
      <c r="I176" s="17"/>
      <c r="J176" s="54" t="s">
        <v>2661</v>
      </c>
      <c r="K176" s="54" t="s">
        <v>2500</v>
      </c>
      <c r="L176" s="17"/>
      <c r="M176" s="17"/>
      <c r="N176" s="54"/>
      <c r="O176" s="17"/>
      <c r="P176" s="17"/>
      <c r="Q176" s="54" t="s">
        <v>3118</v>
      </c>
      <c r="R176" s="17"/>
      <c r="S176" s="17"/>
      <c r="T176" s="54" t="s">
        <v>3335</v>
      </c>
      <c r="U176" s="17"/>
      <c r="V176" s="17"/>
      <c r="W176" s="54" t="s">
        <v>2718</v>
      </c>
    </row>
    <row r="177" spans="1:23" ht="26.25" hidden="1" customHeight="1">
      <c r="A177" s="54" t="s">
        <v>3168</v>
      </c>
      <c r="B177" s="17"/>
      <c r="C177" s="54" t="s">
        <v>3087</v>
      </c>
      <c r="D177" s="54" t="s">
        <v>3139</v>
      </c>
      <c r="E177" s="54" t="s">
        <v>3141</v>
      </c>
      <c r="F177" s="54" t="s">
        <v>3065</v>
      </c>
      <c r="G177" s="54" t="s">
        <v>2565</v>
      </c>
      <c r="H177" s="17"/>
      <c r="I177" s="17"/>
      <c r="J177" s="54" t="s">
        <v>2677</v>
      </c>
      <c r="K177" s="54" t="s">
        <v>2509</v>
      </c>
      <c r="L177" s="17"/>
      <c r="M177" s="17"/>
      <c r="N177" s="17"/>
      <c r="O177" s="17"/>
      <c r="P177" s="17"/>
      <c r="Q177" s="54" t="s">
        <v>3127</v>
      </c>
      <c r="R177" s="17"/>
      <c r="S177" s="17"/>
      <c r="T177" s="54" t="s">
        <v>3325</v>
      </c>
      <c r="U177" s="17"/>
      <c r="V177" s="17"/>
      <c r="W177" s="54" t="s">
        <v>2731</v>
      </c>
    </row>
    <row r="178" spans="1:23" ht="26.25" hidden="1" customHeight="1">
      <c r="A178" s="54" t="s">
        <v>3190</v>
      </c>
      <c r="B178" s="17"/>
      <c r="C178" s="54" t="s">
        <v>3121</v>
      </c>
      <c r="D178" s="54" t="s">
        <v>3231</v>
      </c>
      <c r="E178" s="54" t="s">
        <v>3156</v>
      </c>
      <c r="F178" s="54" t="s">
        <v>3080</v>
      </c>
      <c r="G178" s="54" t="s">
        <v>2571</v>
      </c>
      <c r="H178" s="17"/>
      <c r="I178" s="17"/>
      <c r="J178" s="54" t="s">
        <v>2698</v>
      </c>
      <c r="K178" s="54" t="s">
        <v>2843</v>
      </c>
      <c r="L178" s="17"/>
      <c r="M178" s="17"/>
      <c r="N178" s="17"/>
      <c r="O178" s="17"/>
      <c r="P178" s="17"/>
      <c r="Q178" s="54" t="s">
        <v>3157</v>
      </c>
      <c r="R178" s="17"/>
      <c r="S178" s="17"/>
      <c r="T178" s="54" t="s">
        <v>3326</v>
      </c>
      <c r="U178" s="17"/>
      <c r="V178" s="17"/>
      <c r="W178" s="54" t="s">
        <v>2732</v>
      </c>
    </row>
    <row r="179" spans="1:23" ht="26.25" hidden="1" customHeight="1">
      <c r="A179" s="55" t="s">
        <v>3240</v>
      </c>
      <c r="B179" s="17"/>
      <c r="C179" s="39"/>
      <c r="D179" s="54" t="s">
        <v>3370</v>
      </c>
      <c r="E179" s="54" t="s">
        <v>3164</v>
      </c>
      <c r="F179" s="54" t="s">
        <v>3086</v>
      </c>
      <c r="G179" s="54" t="s">
        <v>2576</v>
      </c>
      <c r="H179" s="17"/>
      <c r="I179" s="17"/>
      <c r="J179" s="39"/>
      <c r="K179" s="39" t="s">
        <v>3271</v>
      </c>
      <c r="L179" s="17"/>
      <c r="M179" s="17"/>
      <c r="N179" s="17"/>
      <c r="O179" s="17"/>
      <c r="P179" s="17"/>
      <c r="Q179" s="54" t="s">
        <v>3315</v>
      </c>
      <c r="R179" s="17"/>
      <c r="S179" s="17"/>
      <c r="T179" s="54" t="s">
        <v>3349</v>
      </c>
      <c r="U179" s="17"/>
      <c r="V179" s="17"/>
      <c r="W179" s="54" t="s">
        <v>2740</v>
      </c>
    </row>
    <row r="180" spans="1:23" ht="26.25" hidden="1" customHeight="1">
      <c r="A180" s="54" t="s">
        <v>3252</v>
      </c>
      <c r="B180" s="17"/>
      <c r="C180" s="17"/>
      <c r="D180" s="54" t="s">
        <v>3424</v>
      </c>
      <c r="E180" s="54" t="s">
        <v>3169</v>
      </c>
      <c r="F180" s="54" t="s">
        <v>3101</v>
      </c>
      <c r="G180" s="54" t="s">
        <v>2621</v>
      </c>
      <c r="H180" s="17"/>
      <c r="I180" s="17"/>
      <c r="J180" s="17"/>
      <c r="K180" s="54" t="s">
        <v>3275</v>
      </c>
      <c r="L180" s="17"/>
      <c r="M180" s="17"/>
      <c r="N180" s="17"/>
      <c r="O180" s="17"/>
      <c r="P180" s="17"/>
      <c r="Q180" s="54" t="s">
        <v>3372</v>
      </c>
      <c r="R180" s="17"/>
      <c r="S180" s="17"/>
      <c r="T180" s="54" t="s">
        <v>3357</v>
      </c>
      <c r="U180" s="17"/>
      <c r="V180" s="17"/>
      <c r="W180" s="54" t="s">
        <v>2752</v>
      </c>
    </row>
    <row r="181" spans="1:23" ht="26.25" hidden="1" customHeight="1">
      <c r="A181" s="54" t="s">
        <v>3347</v>
      </c>
      <c r="B181" s="17"/>
      <c r="C181" s="17"/>
      <c r="D181" s="39"/>
      <c r="E181" s="54" t="s">
        <v>3194</v>
      </c>
      <c r="F181" s="54" t="s">
        <v>3126</v>
      </c>
      <c r="G181" s="54" t="s">
        <v>2645</v>
      </c>
      <c r="H181" s="17"/>
      <c r="I181" s="17"/>
      <c r="J181" s="17"/>
      <c r="K181" s="54" t="s">
        <v>3299</v>
      </c>
      <c r="L181" s="17"/>
      <c r="M181" s="17"/>
      <c r="N181" s="17"/>
      <c r="O181" s="17"/>
      <c r="P181" s="17"/>
      <c r="Q181" s="54" t="s">
        <v>3382</v>
      </c>
      <c r="R181" s="17"/>
      <c r="S181" s="17"/>
      <c r="T181" s="54" t="s">
        <v>3369</v>
      </c>
      <c r="U181" s="17"/>
      <c r="V181" s="17"/>
      <c r="W181" s="54" t="s">
        <v>2774</v>
      </c>
    </row>
    <row r="182" spans="1:23" ht="26.25" hidden="1" customHeight="1">
      <c r="A182" s="54" t="s">
        <v>3380</v>
      </c>
      <c r="B182" s="17"/>
      <c r="C182" s="17"/>
      <c r="D182" s="17"/>
      <c r="E182" s="54" t="s">
        <v>3211</v>
      </c>
      <c r="F182" s="54" t="s">
        <v>3165</v>
      </c>
      <c r="G182" s="54" t="s">
        <v>2696</v>
      </c>
      <c r="H182" s="17"/>
      <c r="I182" s="17"/>
      <c r="J182" s="17"/>
      <c r="K182" s="54" t="s">
        <v>3313</v>
      </c>
      <c r="L182" s="17"/>
      <c r="M182" s="17"/>
      <c r="N182" s="17"/>
      <c r="O182" s="17"/>
      <c r="P182" s="17"/>
      <c r="Q182" s="95" t="s">
        <v>3383</v>
      </c>
      <c r="R182" s="17"/>
      <c r="S182" s="17"/>
      <c r="T182" s="54" t="s">
        <v>3376</v>
      </c>
      <c r="U182" s="17"/>
      <c r="V182" s="17"/>
      <c r="W182" s="54" t="s">
        <v>2800</v>
      </c>
    </row>
    <row r="183" spans="1:23" ht="26.25" hidden="1" customHeight="1">
      <c r="A183" s="54" t="s">
        <v>3423</v>
      </c>
      <c r="B183" s="17"/>
      <c r="C183" s="17"/>
      <c r="D183" s="17"/>
      <c r="E183" s="54" t="s">
        <v>3232</v>
      </c>
      <c r="F183" s="54" t="s">
        <v>3142</v>
      </c>
      <c r="G183" s="54" t="s">
        <v>2765</v>
      </c>
      <c r="H183" s="17"/>
      <c r="I183" s="17"/>
      <c r="J183" s="17"/>
      <c r="K183" s="54" t="s">
        <v>3327</v>
      </c>
      <c r="L183" s="17"/>
      <c r="M183" s="17"/>
      <c r="N183" s="17"/>
      <c r="O183" s="17"/>
      <c r="P183" s="17"/>
      <c r="Q183" s="55" t="s">
        <v>3401</v>
      </c>
      <c r="R183" s="17"/>
      <c r="S183" s="17"/>
      <c r="T183" s="54" t="s">
        <v>3384</v>
      </c>
      <c r="U183" s="17"/>
      <c r="V183" s="17"/>
      <c r="W183" s="54" t="s">
        <v>2973</v>
      </c>
    </row>
    <row r="184" spans="1:23" ht="26.25" hidden="1" customHeight="1">
      <c r="A184" s="55" t="s">
        <v>3436</v>
      </c>
      <c r="B184" s="17"/>
      <c r="C184" s="17"/>
      <c r="D184" s="17"/>
      <c r="E184" s="54" t="s">
        <v>3253</v>
      </c>
      <c r="F184" s="54" t="s">
        <v>3170</v>
      </c>
      <c r="G184" s="54" t="s">
        <v>2950</v>
      </c>
      <c r="H184" s="47"/>
      <c r="I184" s="17"/>
      <c r="J184" s="17"/>
      <c r="K184" s="54" t="s">
        <v>3334</v>
      </c>
      <c r="L184" s="17"/>
      <c r="M184" s="17"/>
      <c r="N184" s="17"/>
      <c r="O184" s="17"/>
      <c r="P184" s="17"/>
      <c r="Q184" s="54" t="s">
        <v>3452</v>
      </c>
      <c r="R184" s="17"/>
      <c r="S184" s="17"/>
      <c r="T184" s="54" t="s">
        <v>3438</v>
      </c>
      <c r="U184" s="17"/>
      <c r="V184" s="17"/>
      <c r="W184" s="54" t="s">
        <v>2979</v>
      </c>
    </row>
    <row r="185" spans="1:23" ht="26.25" hidden="1" customHeight="1">
      <c r="A185" s="54" t="s">
        <v>3451</v>
      </c>
      <c r="B185" s="17"/>
      <c r="C185" s="17"/>
      <c r="D185" s="17"/>
      <c r="E185" s="54" t="s">
        <v>3333</v>
      </c>
      <c r="F185" s="54" t="s">
        <v>3186</v>
      </c>
      <c r="G185" s="54" t="s">
        <v>3028</v>
      </c>
      <c r="H185" s="47"/>
      <c r="I185" s="17"/>
      <c r="J185" s="17"/>
      <c r="K185" s="54" t="s">
        <v>3425</v>
      </c>
      <c r="L185" s="17"/>
      <c r="M185" s="17"/>
      <c r="N185" s="17"/>
      <c r="O185" s="17"/>
      <c r="P185" s="17"/>
      <c r="Q185" s="39"/>
      <c r="R185" s="17"/>
      <c r="S185" s="17"/>
      <c r="T185" s="54" t="s">
        <v>3454</v>
      </c>
      <c r="U185" s="17"/>
      <c r="V185" s="17"/>
      <c r="W185" s="54" t="s">
        <v>2999</v>
      </c>
    </row>
    <row r="186" spans="1:23" ht="26.25" hidden="1" customHeight="1">
      <c r="A186" s="54" t="s">
        <v>3472</v>
      </c>
      <c r="B186" s="17"/>
      <c r="C186" s="17"/>
      <c r="D186" s="17"/>
      <c r="E186" s="54" t="s">
        <v>3375</v>
      </c>
      <c r="F186" s="54" t="s">
        <v>3189</v>
      </c>
      <c r="G186" s="54" t="s">
        <v>3102</v>
      </c>
      <c r="H186" s="47"/>
      <c r="I186" s="17"/>
      <c r="J186" s="17"/>
      <c r="K186" s="55" t="s">
        <v>3412</v>
      </c>
      <c r="L186" s="17"/>
      <c r="M186" s="17"/>
      <c r="N186" s="17"/>
      <c r="O186" s="17"/>
      <c r="P186" s="17"/>
      <c r="Q186" s="17"/>
      <c r="R186" s="17"/>
      <c r="S186" s="17"/>
      <c r="T186" s="54" t="s">
        <v>3455</v>
      </c>
      <c r="U186" s="17"/>
      <c r="V186" s="17"/>
      <c r="W186" s="54" t="s">
        <v>3013</v>
      </c>
    </row>
    <row r="187" spans="1:23" ht="26.25" hidden="1" customHeight="1">
      <c r="A187" s="17"/>
      <c r="B187" s="17"/>
      <c r="C187" s="17"/>
      <c r="D187" s="17"/>
      <c r="E187" s="54" t="s">
        <v>3406</v>
      </c>
      <c r="F187" s="54" t="s">
        <v>3195</v>
      </c>
      <c r="G187" s="54" t="s">
        <v>3069</v>
      </c>
      <c r="H187" s="47"/>
      <c r="I187" s="17"/>
      <c r="J187" s="17"/>
      <c r="K187" s="55" t="s">
        <v>3414</v>
      </c>
      <c r="L187" s="17"/>
      <c r="M187" s="17"/>
      <c r="N187" s="17"/>
      <c r="O187" s="17"/>
      <c r="P187" s="17"/>
      <c r="Q187" s="17"/>
      <c r="R187" s="17"/>
      <c r="S187" s="17"/>
      <c r="T187" s="54"/>
      <c r="U187" s="17"/>
      <c r="V187" s="17"/>
      <c r="W187" s="54" t="s">
        <v>3038</v>
      </c>
    </row>
    <row r="188" spans="1:23" ht="26.25" hidden="1" customHeight="1">
      <c r="A188" s="17"/>
      <c r="B188" s="17"/>
      <c r="C188" s="17"/>
      <c r="D188" s="17"/>
      <c r="E188" s="54"/>
      <c r="F188" s="54" t="s">
        <v>3233</v>
      </c>
      <c r="G188" s="54" t="s">
        <v>3115</v>
      </c>
      <c r="H188" s="47"/>
      <c r="I188" s="17"/>
      <c r="J188" s="17"/>
      <c r="K188" s="55" t="s">
        <v>3415</v>
      </c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54" t="s">
        <v>3050</v>
      </c>
    </row>
    <row r="189" spans="1:23" ht="26.25" hidden="1" customHeight="1">
      <c r="A189" s="17"/>
      <c r="B189" s="17"/>
      <c r="C189" s="17"/>
      <c r="D189" s="17"/>
      <c r="E189" s="17"/>
      <c r="F189" s="54" t="s">
        <v>3207</v>
      </c>
      <c r="G189" s="54" t="s">
        <v>3116</v>
      </c>
      <c r="H189" s="47"/>
      <c r="I189" s="17"/>
      <c r="J189" s="17"/>
      <c r="K189" s="54" t="s">
        <v>3437</v>
      </c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54" t="s">
        <v>3067</v>
      </c>
    </row>
    <row r="190" spans="1:23" ht="26.25" hidden="1" customHeight="1">
      <c r="A190" s="17"/>
      <c r="B190" s="17"/>
      <c r="C190" s="17"/>
      <c r="D190" s="17"/>
      <c r="E190" s="47"/>
      <c r="F190" s="54" t="s">
        <v>3208</v>
      </c>
      <c r="G190" s="54" t="s">
        <v>3122</v>
      </c>
      <c r="H190" s="47"/>
      <c r="I190" s="17"/>
      <c r="J190" s="17"/>
      <c r="K190" s="39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55" t="s">
        <v>3083</v>
      </c>
    </row>
    <row r="191" spans="1:23" ht="26.25" hidden="1" customHeight="1">
      <c r="A191" s="17"/>
      <c r="B191" s="17"/>
      <c r="C191" s="17"/>
      <c r="D191" s="17"/>
      <c r="E191" s="17"/>
      <c r="F191" s="54" t="s">
        <v>3322</v>
      </c>
      <c r="G191" s="54" t="s">
        <v>3140</v>
      </c>
      <c r="H191" s="4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54" t="s">
        <v>3084</v>
      </c>
    </row>
    <row r="192" spans="1:23" ht="26.25" hidden="1" customHeight="1">
      <c r="A192" s="17"/>
      <c r="B192" s="17"/>
      <c r="C192" s="17"/>
      <c r="D192" s="17"/>
      <c r="E192" s="17"/>
      <c r="F192" s="54" t="s">
        <v>3439</v>
      </c>
      <c r="G192" s="54" t="s">
        <v>3171</v>
      </c>
      <c r="H192" s="4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54" t="s">
        <v>3085</v>
      </c>
    </row>
    <row r="193" spans="1:23" ht="26.25" hidden="1" customHeight="1">
      <c r="A193" s="17"/>
      <c r="B193" s="17"/>
      <c r="C193" s="17"/>
      <c r="D193" s="17"/>
      <c r="E193" s="17"/>
      <c r="F193" s="54" t="s">
        <v>3440</v>
      </c>
      <c r="G193" s="54" t="s">
        <v>3191</v>
      </c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54" t="s">
        <v>3212</v>
      </c>
    </row>
    <row r="194" spans="1:23" ht="26.25" hidden="1" customHeight="1">
      <c r="A194" s="17"/>
      <c r="B194" s="17"/>
      <c r="C194" s="17"/>
      <c r="D194" s="17"/>
      <c r="E194" s="17"/>
      <c r="F194" s="54" t="s">
        <v>3446</v>
      </c>
      <c r="G194" s="54" t="s">
        <v>3234</v>
      </c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54" t="s">
        <v>3236</v>
      </c>
    </row>
    <row r="195" spans="1:23" ht="26.25" hidden="1" customHeight="1">
      <c r="A195" s="17"/>
      <c r="B195" s="17"/>
      <c r="C195" s="17"/>
      <c r="D195" s="17"/>
      <c r="E195" s="17"/>
      <c r="F195" s="54" t="s">
        <v>3474</v>
      </c>
      <c r="G195" s="54" t="s">
        <v>3224</v>
      </c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54" t="s">
        <v>3255</v>
      </c>
    </row>
    <row r="196" spans="1:23" ht="26.25" hidden="1" customHeight="1">
      <c r="A196" s="17"/>
      <c r="B196" s="17"/>
      <c r="C196" s="17"/>
      <c r="D196" s="17"/>
      <c r="E196" s="17"/>
      <c r="F196" s="54"/>
      <c r="G196" s="54" t="s">
        <v>3243</v>
      </c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54" t="s">
        <v>3272</v>
      </c>
    </row>
    <row r="197" spans="1:23" ht="26.25" hidden="1" customHeight="1">
      <c r="A197" s="17"/>
      <c r="B197" s="17"/>
      <c r="C197" s="17"/>
      <c r="D197" s="17"/>
      <c r="E197" s="17"/>
      <c r="F197" s="17"/>
      <c r="G197" s="54" t="s">
        <v>3254</v>
      </c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54" t="s">
        <v>3306</v>
      </c>
    </row>
    <row r="198" spans="1:23" ht="26.25" hidden="1" customHeight="1">
      <c r="A198" s="17"/>
      <c r="B198" s="17"/>
      <c r="C198" s="17"/>
      <c r="D198" s="17"/>
      <c r="E198" s="17"/>
      <c r="F198" s="17"/>
      <c r="G198" s="54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54" t="s">
        <v>3316</v>
      </c>
    </row>
    <row r="199" spans="1:23" ht="26.25" hidden="1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54" t="s">
        <v>3323</v>
      </c>
    </row>
    <row r="200" spans="1:23" ht="26.25" hidden="1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54" t="s">
        <v>3336</v>
      </c>
    </row>
    <row r="201" spans="1:23" ht="26.25" hidden="1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54" t="s">
        <v>3324</v>
      </c>
    </row>
    <row r="202" spans="1:23" ht="26.25" hidden="1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54" t="s">
        <v>3350</v>
      </c>
    </row>
    <row r="203" spans="1:23" ht="26.25" hidden="1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54" t="s">
        <v>3341</v>
      </c>
    </row>
    <row r="204" spans="1:23" ht="26.25" hidden="1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54" t="s">
        <v>3373</v>
      </c>
    </row>
    <row r="205" spans="1:23" ht="26.25" hidden="1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54" t="s">
        <v>3356</v>
      </c>
    </row>
    <row r="206" spans="1:23" ht="26.25" hidden="1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55" t="s">
        <v>3385</v>
      </c>
    </row>
    <row r="207" spans="1:23" s="50" customFormat="1" ht="26.25" hidden="1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 t="s">
        <v>3394</v>
      </c>
    </row>
    <row r="208" spans="1:23" ht="26.25" hidden="1" customHeight="1">
      <c r="A208" s="54" t="s">
        <v>3484</v>
      </c>
      <c r="B208" s="39" t="s">
        <v>3129</v>
      </c>
      <c r="C208" s="39" t="s">
        <v>3129</v>
      </c>
      <c r="D208" s="39" t="s">
        <v>3715</v>
      </c>
      <c r="E208" s="54" t="s">
        <v>3473</v>
      </c>
      <c r="F208" s="54" t="s">
        <v>3498</v>
      </c>
      <c r="G208" s="54" t="s">
        <v>3592</v>
      </c>
      <c r="H208" s="54" t="s">
        <v>3606</v>
      </c>
      <c r="I208" s="39" t="s">
        <v>3714</v>
      </c>
      <c r="J208" s="39" t="s">
        <v>3465</v>
      </c>
      <c r="K208" s="51" t="s">
        <v>3129</v>
      </c>
      <c r="L208" s="54" t="s">
        <v>3545</v>
      </c>
      <c r="M208" s="54" t="s">
        <v>3514</v>
      </c>
      <c r="N208" s="54" t="s">
        <v>3476</v>
      </c>
      <c r="O208" s="54" t="s">
        <v>3517</v>
      </c>
      <c r="P208" s="39" t="s">
        <v>3445</v>
      </c>
      <c r="Q208" s="39" t="s">
        <v>3740</v>
      </c>
      <c r="R208" s="39" t="s">
        <v>3740</v>
      </c>
      <c r="S208" s="54" t="s">
        <v>3504</v>
      </c>
      <c r="T208" s="54" t="s">
        <v>3510</v>
      </c>
      <c r="U208" s="39" t="s">
        <v>3511</v>
      </c>
      <c r="V208" s="39" t="s">
        <v>3511</v>
      </c>
      <c r="W208" s="54" t="s">
        <v>3399</v>
      </c>
    </row>
    <row r="209" spans="1:23" ht="26.25" hidden="1" customHeight="1">
      <c r="A209" s="54" t="s">
        <v>3831</v>
      </c>
      <c r="B209" s="39" t="s">
        <v>3950</v>
      </c>
      <c r="C209" s="39" t="s">
        <v>3951</v>
      </c>
      <c r="D209" s="54" t="s">
        <v>3748</v>
      </c>
      <c r="E209" s="54" t="s">
        <v>3497</v>
      </c>
      <c r="F209" s="54" t="s">
        <v>3475</v>
      </c>
      <c r="G209" s="54" t="s">
        <v>3720</v>
      </c>
      <c r="H209" s="54" t="s">
        <v>3721</v>
      </c>
      <c r="I209" s="96" t="s">
        <v>3722</v>
      </c>
      <c r="J209" s="54" t="s">
        <v>3662</v>
      </c>
      <c r="K209" s="96" t="s">
        <v>3694</v>
      </c>
      <c r="L209" s="54" t="s">
        <v>3552</v>
      </c>
      <c r="M209" s="54" t="s">
        <v>3533</v>
      </c>
      <c r="N209" s="54" t="s">
        <v>3499</v>
      </c>
      <c r="O209" s="39" t="s">
        <v>3547</v>
      </c>
      <c r="P209" s="54" t="s">
        <v>3462</v>
      </c>
      <c r="Q209" s="96" t="s">
        <v>3846</v>
      </c>
      <c r="R209" s="96" t="s">
        <v>3847</v>
      </c>
      <c r="S209" s="54" t="s">
        <v>3501</v>
      </c>
      <c r="T209" s="54" t="s">
        <v>3518</v>
      </c>
      <c r="U209" s="54" t="s">
        <v>3550</v>
      </c>
      <c r="V209" s="39" t="s">
        <v>4020</v>
      </c>
      <c r="W209" s="54" t="s">
        <v>3536</v>
      </c>
    </row>
    <row r="210" spans="1:23" ht="26.25" hidden="1" customHeight="1">
      <c r="A210" s="54" t="s">
        <v>4016</v>
      </c>
      <c r="B210" s="54" t="s">
        <v>4017</v>
      </c>
      <c r="C210" s="54" t="s">
        <v>4018</v>
      </c>
      <c r="D210" s="54" t="s">
        <v>3762</v>
      </c>
      <c r="E210" s="55" t="s">
        <v>3477</v>
      </c>
      <c r="F210" s="54" t="s">
        <v>3513</v>
      </c>
      <c r="G210" s="54" t="s">
        <v>4176</v>
      </c>
      <c r="H210" s="55" t="s">
        <v>3777</v>
      </c>
      <c r="I210" s="54" t="s">
        <v>3749</v>
      </c>
      <c r="J210" s="39" t="s">
        <v>3950</v>
      </c>
      <c r="K210" s="101" t="s">
        <v>4002</v>
      </c>
      <c r="L210" s="54" t="s">
        <v>3555</v>
      </c>
      <c r="M210" s="54" t="s">
        <v>3546</v>
      </c>
      <c r="N210" s="54" t="s">
        <v>3516</v>
      </c>
      <c r="O210" s="54" t="s">
        <v>3625</v>
      </c>
      <c r="P210" s="54" t="s">
        <v>3463</v>
      </c>
      <c r="Q210" s="54" t="s">
        <v>3850</v>
      </c>
      <c r="R210" s="96" t="s">
        <v>3861</v>
      </c>
      <c r="S210" s="54" t="s">
        <v>3535</v>
      </c>
      <c r="T210" s="54" t="s">
        <v>3530</v>
      </c>
      <c r="U210" s="39" t="s">
        <v>3996</v>
      </c>
      <c r="V210" s="54" t="s">
        <v>4025</v>
      </c>
      <c r="W210" s="54" t="s">
        <v>3551</v>
      </c>
    </row>
    <row r="211" spans="1:23" ht="26.25" hidden="1" customHeight="1">
      <c r="A211" s="39" t="s">
        <v>4338</v>
      </c>
      <c r="B211" s="39" t="s">
        <v>4145</v>
      </c>
      <c r="C211" s="54" t="s">
        <v>4153</v>
      </c>
      <c r="D211" s="54" t="s">
        <v>3752</v>
      </c>
      <c r="E211" s="54" t="s">
        <v>3478</v>
      </c>
      <c r="F211" s="54" t="s">
        <v>3532</v>
      </c>
      <c r="G211" s="54" t="s">
        <v>4370</v>
      </c>
      <c r="H211" s="54" t="s">
        <v>4176</v>
      </c>
      <c r="I211" s="96" t="s">
        <v>3763</v>
      </c>
      <c r="J211" s="54" t="s">
        <v>3981</v>
      </c>
      <c r="K211" s="96" t="s">
        <v>4762</v>
      </c>
      <c r="L211" s="54" t="s">
        <v>3559</v>
      </c>
      <c r="M211" s="54" t="s">
        <v>3572</v>
      </c>
      <c r="N211" s="54" t="s">
        <v>3515</v>
      </c>
      <c r="O211" s="55" t="s">
        <v>3629</v>
      </c>
      <c r="P211" s="54" t="s">
        <v>3500</v>
      </c>
      <c r="Q211" s="54" t="s">
        <v>3851</v>
      </c>
      <c r="R211" s="54" t="s">
        <v>3891</v>
      </c>
      <c r="S211" s="39" t="s">
        <v>3949</v>
      </c>
      <c r="T211" s="54" t="s">
        <v>3549</v>
      </c>
      <c r="U211" s="54" t="s">
        <v>4154</v>
      </c>
      <c r="V211" s="96" t="s">
        <v>4138</v>
      </c>
      <c r="W211" s="54" t="s">
        <v>3598</v>
      </c>
    </row>
    <row r="212" spans="1:23" ht="26.25" hidden="1" customHeight="1">
      <c r="A212" s="55" t="s">
        <v>4280</v>
      </c>
      <c r="B212" s="54" t="s">
        <v>4564</v>
      </c>
      <c r="C212" s="39" t="s">
        <v>4145</v>
      </c>
      <c r="D212" s="54" t="s">
        <v>3754</v>
      </c>
      <c r="E212" s="54" t="s">
        <v>3512</v>
      </c>
      <c r="F212" s="54" t="s">
        <v>3531</v>
      </c>
      <c r="G212" s="54" t="s">
        <v>4432</v>
      </c>
      <c r="H212" s="54" t="s">
        <v>4390</v>
      </c>
      <c r="I212" s="96" t="s">
        <v>3730</v>
      </c>
      <c r="J212" s="54" t="s">
        <v>3985</v>
      </c>
      <c r="K212" s="51"/>
      <c r="L212" s="54" t="s">
        <v>3570</v>
      </c>
      <c r="M212" s="54" t="s">
        <v>3595</v>
      </c>
      <c r="N212" s="54" t="s">
        <v>3534</v>
      </c>
      <c r="O212" s="54" t="s">
        <v>3643</v>
      </c>
      <c r="P212" s="54" t="s">
        <v>3548</v>
      </c>
      <c r="Q212" s="54" t="s">
        <v>3852</v>
      </c>
      <c r="R212" s="39" t="s">
        <v>4838</v>
      </c>
      <c r="S212" s="54" t="s">
        <v>3994</v>
      </c>
      <c r="T212" s="39" t="s">
        <v>3996</v>
      </c>
      <c r="U212" s="55" t="s">
        <v>4159</v>
      </c>
      <c r="V212" s="55" t="s">
        <v>4139</v>
      </c>
      <c r="W212" s="54" t="s">
        <v>3642</v>
      </c>
    </row>
    <row r="213" spans="1:23" ht="26.25" hidden="1" customHeight="1">
      <c r="A213" s="54" t="s">
        <v>4401</v>
      </c>
      <c r="B213" s="55" t="s">
        <v>4565</v>
      </c>
      <c r="C213" s="54" t="s">
        <v>4596</v>
      </c>
      <c r="D213" s="54" t="s">
        <v>3796</v>
      </c>
      <c r="E213" s="54" t="s">
        <v>3543</v>
      </c>
      <c r="F213" s="54" t="s">
        <v>3544</v>
      </c>
      <c r="G213" s="51"/>
      <c r="H213" s="96" t="s">
        <v>4523</v>
      </c>
      <c r="I213" s="96" t="s">
        <v>3799</v>
      </c>
      <c r="J213" s="96" t="s">
        <v>4803</v>
      </c>
      <c r="K213" s="17"/>
      <c r="L213" s="55" t="s">
        <v>3594</v>
      </c>
      <c r="M213" s="54" t="s">
        <v>3607</v>
      </c>
      <c r="N213" s="54" t="s">
        <v>3560</v>
      </c>
      <c r="O213" s="96" t="s">
        <v>3645</v>
      </c>
      <c r="P213" s="54" t="s">
        <v>3561</v>
      </c>
      <c r="Q213" s="54" t="s">
        <v>3890</v>
      </c>
      <c r="R213" s="17"/>
      <c r="S213" s="54" t="s">
        <v>4005</v>
      </c>
      <c r="T213" s="96" t="s">
        <v>4168</v>
      </c>
      <c r="U213" s="54" t="s">
        <v>4202</v>
      </c>
      <c r="V213" s="54" t="s">
        <v>4189</v>
      </c>
      <c r="W213" s="54" t="s">
        <v>3729</v>
      </c>
    </row>
    <row r="214" spans="1:23" ht="26.25" hidden="1" customHeight="1">
      <c r="A214" s="54" t="s">
        <v>4681</v>
      </c>
      <c r="B214" s="54" t="s">
        <v>4566</v>
      </c>
      <c r="C214" s="54" t="s">
        <v>4692</v>
      </c>
      <c r="D214" s="54" t="s">
        <v>3813</v>
      </c>
      <c r="E214" s="54" t="s">
        <v>3597</v>
      </c>
      <c r="F214" s="54" t="s">
        <v>3596</v>
      </c>
      <c r="G214" s="17"/>
      <c r="H214" s="96" t="s">
        <v>4524</v>
      </c>
      <c r="I214" s="96" t="s">
        <v>3800</v>
      </c>
      <c r="J214" s="54" t="s">
        <v>4816</v>
      </c>
      <c r="K214" s="17"/>
      <c r="L214" s="54" t="s">
        <v>3593</v>
      </c>
      <c r="M214" s="54" t="s">
        <v>3623</v>
      </c>
      <c r="N214" s="54" t="s">
        <v>3571</v>
      </c>
      <c r="O214" s="96" t="s">
        <v>3690</v>
      </c>
      <c r="P214" s="96" t="s">
        <v>3667</v>
      </c>
      <c r="Q214" s="96" t="s">
        <v>3896</v>
      </c>
      <c r="R214" s="17"/>
      <c r="S214" s="54" t="s">
        <v>4021</v>
      </c>
      <c r="T214" s="96" t="s">
        <v>4156</v>
      </c>
      <c r="U214" s="54" t="s">
        <v>4260</v>
      </c>
      <c r="V214" s="54" t="s">
        <v>4211</v>
      </c>
      <c r="W214" s="54" t="s">
        <v>3750</v>
      </c>
    </row>
    <row r="215" spans="1:23" ht="26.25" hidden="1" customHeight="1">
      <c r="A215" s="54" t="s">
        <v>4710</v>
      </c>
      <c r="B215" s="54" t="s">
        <v>4696</v>
      </c>
      <c r="C215" s="54" t="s">
        <v>4709</v>
      </c>
      <c r="D215" s="96" t="s">
        <v>3844</v>
      </c>
      <c r="E215" s="54" t="s">
        <v>3622</v>
      </c>
      <c r="F215" s="54" t="s">
        <v>3603</v>
      </c>
      <c r="G215" s="17"/>
      <c r="H215" s="99" t="s">
        <v>4568</v>
      </c>
      <c r="I215" s="54" t="s">
        <v>3857</v>
      </c>
      <c r="J215" s="54" t="s">
        <v>4826</v>
      </c>
      <c r="K215" s="17"/>
      <c r="L215" s="54" t="s">
        <v>3604</v>
      </c>
      <c r="M215" s="54" t="s">
        <v>3641</v>
      </c>
      <c r="N215" s="54" t="s">
        <v>3605</v>
      </c>
      <c r="O215" s="54" t="s">
        <v>3728</v>
      </c>
      <c r="P215" s="96" t="s">
        <v>3669</v>
      </c>
      <c r="Q215" s="39" t="s">
        <v>4838</v>
      </c>
      <c r="R215" s="17"/>
      <c r="S215" s="54" t="s">
        <v>4312</v>
      </c>
      <c r="T215" s="96" t="s">
        <v>4157</v>
      </c>
      <c r="U215" s="55" t="s">
        <v>4279</v>
      </c>
      <c r="V215" s="96" t="s">
        <v>4226</v>
      </c>
      <c r="W215" s="54" t="s">
        <v>3764</v>
      </c>
    </row>
    <row r="216" spans="1:23" ht="26.25" hidden="1" customHeight="1">
      <c r="A216" s="54" t="s">
        <v>4850</v>
      </c>
      <c r="B216" s="55" t="s">
        <v>4708</v>
      </c>
      <c r="C216" s="54" t="s">
        <v>4720</v>
      </c>
      <c r="D216" s="54" t="s">
        <v>3928</v>
      </c>
      <c r="E216" s="54" t="s">
        <v>3686</v>
      </c>
      <c r="F216" s="96" t="s">
        <v>3663</v>
      </c>
      <c r="G216" s="17"/>
      <c r="H216" s="51"/>
      <c r="I216" s="96" t="s">
        <v>3858</v>
      </c>
      <c r="J216" s="54" t="s">
        <v>4891</v>
      </c>
      <c r="K216" s="17"/>
      <c r="L216" s="54" t="s">
        <v>3640</v>
      </c>
      <c r="M216" s="54" t="s">
        <v>3644</v>
      </c>
      <c r="N216" s="54" t="s">
        <v>3608</v>
      </c>
      <c r="O216" s="54" t="s">
        <v>3778</v>
      </c>
      <c r="P216" s="96" t="s">
        <v>3731</v>
      </c>
      <c r="Q216" s="17"/>
      <c r="R216" s="17"/>
      <c r="S216" s="54" t="s">
        <v>4661</v>
      </c>
      <c r="T216" s="54" t="s">
        <v>4187</v>
      </c>
      <c r="U216" s="55" t="s">
        <v>4329</v>
      </c>
      <c r="V216" s="54" t="s">
        <v>4212</v>
      </c>
      <c r="W216" s="96" t="s">
        <v>3753</v>
      </c>
    </row>
    <row r="217" spans="1:23" ht="26.25" hidden="1" customHeight="1">
      <c r="A217" s="17"/>
      <c r="B217" s="54" t="s">
        <v>4731</v>
      </c>
      <c r="C217" s="54" t="s">
        <v>4722</v>
      </c>
      <c r="D217" s="54" t="s">
        <v>3964</v>
      </c>
      <c r="E217" s="54" t="s">
        <v>3709</v>
      </c>
      <c r="F217" s="96" t="s">
        <v>3664</v>
      </c>
      <c r="G217" s="17"/>
      <c r="H217" s="17"/>
      <c r="I217" s="96" t="s">
        <v>3887</v>
      </c>
      <c r="J217" s="54" t="s">
        <v>4916</v>
      </c>
      <c r="K217" s="17"/>
      <c r="L217" s="51" t="s">
        <v>3687</v>
      </c>
      <c r="M217" s="51" t="s">
        <v>3687</v>
      </c>
      <c r="N217" s="54" t="s">
        <v>3624</v>
      </c>
      <c r="O217" s="54" t="s">
        <v>3845</v>
      </c>
      <c r="P217" s="54" t="s">
        <v>3732</v>
      </c>
      <c r="Q217" s="17"/>
      <c r="R217" s="17"/>
      <c r="S217" s="54" t="s">
        <v>4662</v>
      </c>
      <c r="T217" s="54" t="s">
        <v>4188</v>
      </c>
      <c r="U217" s="54" t="s">
        <v>4340</v>
      </c>
      <c r="V217" s="54" t="s">
        <v>4246</v>
      </c>
      <c r="W217" s="54" t="s">
        <v>3779</v>
      </c>
    </row>
    <row r="218" spans="1:23" ht="26.25" hidden="1" customHeight="1">
      <c r="A218" s="17"/>
      <c r="B218" s="54" t="s">
        <v>4745</v>
      </c>
      <c r="C218" s="54" t="s">
        <v>4725</v>
      </c>
      <c r="D218" s="54" t="s">
        <v>3965</v>
      </c>
      <c r="E218" s="54" t="s">
        <v>3776</v>
      </c>
      <c r="F218" s="54" t="s">
        <v>3710</v>
      </c>
      <c r="G218" s="17"/>
      <c r="H218" s="17"/>
      <c r="I218" s="96" t="s">
        <v>3987</v>
      </c>
      <c r="J218" s="54" t="s">
        <v>4917</v>
      </c>
      <c r="K218" s="17"/>
      <c r="L218" s="51" t="s">
        <v>4402</v>
      </c>
      <c r="M218" s="96" t="s">
        <v>3694</v>
      </c>
      <c r="N218" s="96" t="s">
        <v>3688</v>
      </c>
      <c r="O218" s="54" t="s">
        <v>3859</v>
      </c>
      <c r="P218" s="96" t="s">
        <v>3783</v>
      </c>
      <c r="Q218" s="17"/>
      <c r="R218" s="17"/>
      <c r="S218" s="55" t="s">
        <v>4690</v>
      </c>
      <c r="T218" s="55" t="s">
        <v>4175</v>
      </c>
      <c r="U218" s="96" t="s">
        <v>4353</v>
      </c>
      <c r="V218" s="54" t="s">
        <v>4259</v>
      </c>
      <c r="W218" s="54" t="s">
        <v>3798</v>
      </c>
    </row>
    <row r="219" spans="1:23" ht="26.25" hidden="1" customHeight="1">
      <c r="A219" s="17"/>
      <c r="B219" s="54"/>
      <c r="C219" s="54" t="s">
        <v>4732</v>
      </c>
      <c r="D219" s="54" t="s">
        <v>3966</v>
      </c>
      <c r="E219" s="96" t="s">
        <v>3797</v>
      </c>
      <c r="F219" s="54" t="s">
        <v>3867</v>
      </c>
      <c r="G219" s="17"/>
      <c r="H219" s="17"/>
      <c r="I219" s="96" t="s">
        <v>4761</v>
      </c>
      <c r="J219" s="54" t="s">
        <v>4918</v>
      </c>
      <c r="K219" s="17"/>
      <c r="L219" s="96" t="s">
        <v>4456</v>
      </c>
      <c r="M219" s="54" t="s">
        <v>3711</v>
      </c>
      <c r="N219" s="54" t="s">
        <v>3689</v>
      </c>
      <c r="O219" s="55" t="s">
        <v>3879</v>
      </c>
      <c r="P219" s="96" t="s">
        <v>3886</v>
      </c>
      <c r="Q219" s="17"/>
      <c r="R219" s="17"/>
      <c r="S219" s="54" t="s">
        <v>4772</v>
      </c>
      <c r="T219" s="39" t="s">
        <v>4796</v>
      </c>
      <c r="U219" s="54" t="s">
        <v>4343</v>
      </c>
      <c r="V219" s="54" t="s">
        <v>4277</v>
      </c>
      <c r="W219" s="54" t="s">
        <v>3815</v>
      </c>
    </row>
    <row r="220" spans="1:23" ht="26.25" hidden="1" customHeight="1">
      <c r="A220" s="17"/>
      <c r="B220" s="17"/>
      <c r="C220" s="54" t="s">
        <v>4738</v>
      </c>
      <c r="D220" s="54" t="s">
        <v>4003</v>
      </c>
      <c r="E220" s="96" t="s">
        <v>3814</v>
      </c>
      <c r="F220" s="54" t="s">
        <v>3880</v>
      </c>
      <c r="G220" s="17"/>
      <c r="H220" s="17"/>
      <c r="I220" s="51"/>
      <c r="J220" s="54" t="s">
        <v>4926</v>
      </c>
      <c r="K220" s="17"/>
      <c r="L220" s="54" t="s">
        <v>4536</v>
      </c>
      <c r="M220" s="54" t="s">
        <v>3940</v>
      </c>
      <c r="N220" s="54" t="s">
        <v>3712</v>
      </c>
      <c r="O220" s="54" t="s">
        <v>3860</v>
      </c>
      <c r="P220" s="54" t="s">
        <v>3894</v>
      </c>
      <c r="Q220" s="17"/>
      <c r="R220" s="17"/>
      <c r="S220" s="54" t="s">
        <v>4805</v>
      </c>
      <c r="T220" s="54" t="s">
        <v>4797</v>
      </c>
      <c r="U220" s="54" t="s">
        <v>4441</v>
      </c>
      <c r="V220" s="146" t="s">
        <v>4303</v>
      </c>
      <c r="W220" s="96" t="s">
        <v>3848</v>
      </c>
    </row>
    <row r="221" spans="1:23" ht="26.25" hidden="1" customHeight="1">
      <c r="A221" s="17"/>
      <c r="B221" s="17"/>
      <c r="C221" s="54" t="s">
        <v>4746</v>
      </c>
      <c r="D221" s="54" t="s">
        <v>4019</v>
      </c>
      <c r="E221" s="54" t="s">
        <v>3869</v>
      </c>
      <c r="F221" s="54" t="s">
        <v>3930</v>
      </c>
      <c r="G221" s="17"/>
      <c r="H221" s="17"/>
      <c r="I221" s="20"/>
      <c r="J221" s="17" t="s">
        <v>4929</v>
      </c>
      <c r="K221" s="17"/>
      <c r="L221" s="54" t="s">
        <v>4557</v>
      </c>
      <c r="M221" s="54" t="s">
        <v>3961</v>
      </c>
      <c r="N221" s="54" t="s">
        <v>3997</v>
      </c>
      <c r="O221" s="54" t="s">
        <v>3889</v>
      </c>
      <c r="P221" s="54" t="s">
        <v>3913</v>
      </c>
      <c r="Q221" s="17"/>
      <c r="R221" s="17"/>
      <c r="S221" s="54" t="s">
        <v>4804</v>
      </c>
      <c r="T221" s="54" t="s">
        <v>4818</v>
      </c>
      <c r="U221" s="96" t="s">
        <v>4446</v>
      </c>
      <c r="V221" s="54" t="s">
        <v>4313</v>
      </c>
      <c r="W221" s="54" t="s">
        <v>3834</v>
      </c>
    </row>
    <row r="222" spans="1:23" ht="26.25" hidden="1" customHeight="1">
      <c r="A222" s="17"/>
      <c r="B222" s="17"/>
      <c r="C222" s="55" t="s">
        <v>4763</v>
      </c>
      <c r="D222" s="54" t="s">
        <v>4155</v>
      </c>
      <c r="E222" s="54" t="s">
        <v>3888</v>
      </c>
      <c r="F222" s="54" t="s">
        <v>3946</v>
      </c>
      <c r="G222" s="17"/>
      <c r="H222" s="17"/>
      <c r="I222" s="20"/>
      <c r="J222" s="17" t="s">
        <v>4930</v>
      </c>
      <c r="K222" s="17"/>
      <c r="L222" s="55" t="s">
        <v>4567</v>
      </c>
      <c r="M222" s="54" t="s">
        <v>3962</v>
      </c>
      <c r="N222" s="96" t="s">
        <v>4144</v>
      </c>
      <c r="O222" s="54" t="s">
        <v>3912</v>
      </c>
      <c r="P222" s="54" t="s">
        <v>3958</v>
      </c>
      <c r="Q222" s="20"/>
      <c r="R222" s="17"/>
      <c r="S222" s="54" t="s">
        <v>4857</v>
      </c>
      <c r="T222" s="96" t="s">
        <v>4852</v>
      </c>
      <c r="U222" s="54" t="s">
        <v>4822</v>
      </c>
      <c r="V222" s="55" t="s">
        <v>4304</v>
      </c>
      <c r="W222" s="54" t="s">
        <v>3862</v>
      </c>
    </row>
    <row r="223" spans="1:23" ht="26.25" hidden="1" customHeight="1">
      <c r="A223" s="17"/>
      <c r="B223" s="17"/>
      <c r="C223" s="99" t="s">
        <v>4764</v>
      </c>
      <c r="D223" s="54" t="s">
        <v>4167</v>
      </c>
      <c r="E223" s="96" t="s">
        <v>3929</v>
      </c>
      <c r="F223" s="54" t="s">
        <v>3952</v>
      </c>
      <c r="G223" s="17"/>
      <c r="H223" s="17"/>
      <c r="I223" s="20"/>
      <c r="J223" s="17"/>
      <c r="K223" s="17"/>
      <c r="L223" s="55" t="s">
        <v>4578</v>
      </c>
      <c r="M223" s="54" t="s">
        <v>3963</v>
      </c>
      <c r="N223" s="96" t="s">
        <v>4201</v>
      </c>
      <c r="O223" s="54" t="s">
        <v>3931</v>
      </c>
      <c r="P223" s="54" t="s">
        <v>4194</v>
      </c>
      <c r="Q223" s="36"/>
      <c r="R223" s="20"/>
      <c r="S223" s="54" t="s">
        <v>4866</v>
      </c>
      <c r="T223" s="99" t="s">
        <v>4889</v>
      </c>
      <c r="U223" s="54"/>
      <c r="V223" s="54" t="s">
        <v>4341</v>
      </c>
      <c r="W223" s="96" t="s">
        <v>3855</v>
      </c>
    </row>
    <row r="224" spans="1:23" ht="26.25" hidden="1" customHeight="1">
      <c r="A224" s="17"/>
      <c r="B224" s="17"/>
      <c r="C224" s="99" t="s">
        <v>4765</v>
      </c>
      <c r="D224" s="54" t="s">
        <v>4184</v>
      </c>
      <c r="E224" s="54" t="s">
        <v>3978</v>
      </c>
      <c r="F224" s="54" t="s">
        <v>3960</v>
      </c>
      <c r="G224" s="17"/>
      <c r="H224" s="20"/>
      <c r="I224" s="20"/>
      <c r="J224" s="17"/>
      <c r="K224" s="17"/>
      <c r="L224" s="96" t="s">
        <v>4591</v>
      </c>
      <c r="M224" s="54" t="s">
        <v>3998</v>
      </c>
      <c r="N224" s="96" t="s">
        <v>4223</v>
      </c>
      <c r="O224" s="55" t="s">
        <v>3938</v>
      </c>
      <c r="P224" s="54" t="s">
        <v>4276</v>
      </c>
      <c r="Q224" s="20"/>
      <c r="R224" s="20"/>
      <c r="S224" s="55" t="s">
        <v>4865</v>
      </c>
      <c r="T224" s="54"/>
      <c r="U224" s="17"/>
      <c r="V224" s="54" t="s">
        <v>4354</v>
      </c>
      <c r="W224" s="96" t="s">
        <v>3868</v>
      </c>
    </row>
    <row r="225" spans="1:23" ht="26.25" hidden="1" customHeight="1">
      <c r="A225" s="17"/>
      <c r="B225" s="17"/>
      <c r="C225" s="54"/>
      <c r="D225" s="54" t="s">
        <v>4198</v>
      </c>
      <c r="E225" s="54" t="s">
        <v>3980</v>
      </c>
      <c r="F225" s="54" t="s">
        <v>3967</v>
      </c>
      <c r="G225" s="36"/>
      <c r="H225" s="20"/>
      <c r="I225" s="20"/>
      <c r="J225" s="17"/>
      <c r="K225" s="17"/>
      <c r="L225" s="96" t="s">
        <v>4604</v>
      </c>
      <c r="M225" s="54" t="s">
        <v>4346</v>
      </c>
      <c r="N225" s="96" t="s">
        <v>4224</v>
      </c>
      <c r="O225" s="55" t="s">
        <v>3939</v>
      </c>
      <c r="P225" s="54" t="s">
        <v>4408</v>
      </c>
      <c r="Q225" s="20"/>
      <c r="R225" s="20"/>
      <c r="S225" s="55" t="s">
        <v>4869</v>
      </c>
      <c r="T225" s="17"/>
      <c r="U225" s="17"/>
      <c r="V225" s="54" t="s">
        <v>4376</v>
      </c>
      <c r="W225" s="54" t="s">
        <v>3892</v>
      </c>
    </row>
    <row r="226" spans="1:23" ht="26.25" hidden="1" customHeight="1">
      <c r="A226" s="17"/>
      <c r="B226" s="17"/>
      <c r="C226" s="17"/>
      <c r="D226" s="54" t="s">
        <v>4218</v>
      </c>
      <c r="E226" s="99" t="s">
        <v>3992</v>
      </c>
      <c r="F226" s="96" t="s">
        <v>3979</v>
      </c>
      <c r="G226" s="17"/>
      <c r="H226" s="17"/>
      <c r="I226" s="17"/>
      <c r="J226" s="17"/>
      <c r="K226" s="17"/>
      <c r="L226" s="96" t="s">
        <v>4605</v>
      </c>
      <c r="M226" s="96" t="s">
        <v>4389</v>
      </c>
      <c r="N226" s="96" t="s">
        <v>4225</v>
      </c>
      <c r="O226" s="54" t="s">
        <v>3993</v>
      </c>
      <c r="P226" s="54" t="s">
        <v>4478</v>
      </c>
      <c r="Q226" s="36"/>
      <c r="R226" s="20"/>
      <c r="S226" s="55" t="s">
        <v>4897</v>
      </c>
      <c r="T226" s="17"/>
      <c r="U226" s="17"/>
      <c r="V226" s="54" t="s">
        <v>4406</v>
      </c>
      <c r="W226" s="54" t="s">
        <v>3877</v>
      </c>
    </row>
    <row r="227" spans="1:23" ht="26.25" hidden="1" customHeight="1">
      <c r="A227" s="47"/>
      <c r="B227" s="17"/>
      <c r="C227" s="17"/>
      <c r="D227" s="54" t="s">
        <v>4242</v>
      </c>
      <c r="E227" s="96" t="s">
        <v>4166</v>
      </c>
      <c r="F227" s="54" t="s">
        <v>4186</v>
      </c>
      <c r="G227" s="17"/>
      <c r="H227" s="36"/>
      <c r="I227" s="17"/>
      <c r="J227" s="17"/>
      <c r="K227" s="17"/>
      <c r="L227" s="96" t="s">
        <v>4693</v>
      </c>
      <c r="M227" s="96" t="s">
        <v>4403</v>
      </c>
      <c r="N227" s="54" t="s">
        <v>4245</v>
      </c>
      <c r="O227" s="54" t="s">
        <v>4314</v>
      </c>
      <c r="P227" s="54" t="s">
        <v>4517</v>
      </c>
      <c r="Q227" s="17"/>
      <c r="R227" s="17"/>
      <c r="S227" s="95" t="s">
        <v>4895</v>
      </c>
      <c r="T227" s="20"/>
      <c r="U227" s="17"/>
      <c r="V227" s="54" t="s">
        <v>4421</v>
      </c>
      <c r="W227" s="54" t="s">
        <v>3914</v>
      </c>
    </row>
    <row r="228" spans="1:23" ht="26.25" hidden="1" customHeight="1">
      <c r="A228" s="17"/>
      <c r="B228" s="17"/>
      <c r="C228" s="17"/>
      <c r="D228" s="54" t="s">
        <v>4254</v>
      </c>
      <c r="E228" s="54" t="s">
        <v>4173</v>
      </c>
      <c r="F228" s="54" t="s">
        <v>4200</v>
      </c>
      <c r="G228" s="17"/>
      <c r="H228" s="17"/>
      <c r="I228" s="17"/>
      <c r="J228" s="17"/>
      <c r="K228" s="17"/>
      <c r="L228" s="99" t="s">
        <v>4711</v>
      </c>
      <c r="M228" s="54" t="s">
        <v>4404</v>
      </c>
      <c r="N228" s="54" t="s">
        <v>4256</v>
      </c>
      <c r="O228" s="54" t="s">
        <v>4409</v>
      </c>
      <c r="P228" s="54" t="s">
        <v>4505</v>
      </c>
      <c r="Q228" s="17"/>
      <c r="R228" s="17"/>
      <c r="S228" s="95" t="s">
        <v>4894</v>
      </c>
      <c r="T228" s="17"/>
      <c r="U228" s="17"/>
      <c r="V228" s="55" t="s">
        <v>4433</v>
      </c>
      <c r="W228" s="54" t="s">
        <v>3915</v>
      </c>
    </row>
    <row r="229" spans="1:23" ht="26.25" hidden="1" customHeight="1">
      <c r="A229" s="17"/>
      <c r="B229" s="17"/>
      <c r="C229" s="17"/>
      <c r="D229" s="54" t="s">
        <v>4302</v>
      </c>
      <c r="E229" s="54" t="s">
        <v>4174</v>
      </c>
      <c r="F229" s="55" t="s">
        <v>4219</v>
      </c>
      <c r="G229" s="17"/>
      <c r="H229" s="17"/>
      <c r="I229" s="17"/>
      <c r="J229" s="17"/>
      <c r="K229" s="20"/>
      <c r="L229" s="96" t="s">
        <v>4747</v>
      </c>
      <c r="M229" s="148" t="s">
        <v>4418</v>
      </c>
      <c r="N229" s="54" t="s">
        <v>4328</v>
      </c>
      <c r="O229" s="54" t="s">
        <v>4477</v>
      </c>
      <c r="P229" s="54" t="s">
        <v>4506</v>
      </c>
      <c r="Q229" s="17" t="s">
        <v>2172</v>
      </c>
      <c r="R229" s="20"/>
      <c r="S229" s="55" t="s">
        <v>4896</v>
      </c>
      <c r="T229" s="36"/>
      <c r="U229" s="17"/>
      <c r="V229" s="54" t="s">
        <v>4466</v>
      </c>
      <c r="W229" s="54" t="s">
        <v>3932</v>
      </c>
    </row>
    <row r="230" spans="1:23" ht="26.25" hidden="1" customHeight="1">
      <c r="A230" s="17"/>
      <c r="B230" s="17"/>
      <c r="C230" s="17"/>
      <c r="D230" s="96" t="s">
        <v>4310</v>
      </c>
      <c r="E230" s="54" t="s">
        <v>4185</v>
      </c>
      <c r="F230" s="54" t="s">
        <v>4220</v>
      </c>
      <c r="G230" s="17"/>
      <c r="H230" s="17"/>
      <c r="I230" s="17"/>
      <c r="J230" s="20"/>
      <c r="K230" s="17"/>
      <c r="L230" s="99" t="s">
        <v>4777</v>
      </c>
      <c r="M230" s="54" t="s">
        <v>4419</v>
      </c>
      <c r="N230" s="96" t="s">
        <v>4344</v>
      </c>
      <c r="O230" s="54" t="s">
        <v>4465</v>
      </c>
      <c r="P230" s="54" t="s">
        <v>4537</v>
      </c>
      <c r="Q230" s="17"/>
      <c r="R230" s="17"/>
      <c r="S230" s="54" t="s">
        <v>4928</v>
      </c>
      <c r="T230" s="47"/>
      <c r="U230" s="17"/>
      <c r="V230" s="55" t="s">
        <v>4453</v>
      </c>
      <c r="W230" s="54" t="s">
        <v>3995</v>
      </c>
    </row>
    <row r="231" spans="1:23" ht="26.25" hidden="1" customHeight="1">
      <c r="A231" s="17"/>
      <c r="B231" s="17"/>
      <c r="C231" s="17"/>
      <c r="D231" s="96" t="s">
        <v>4737</v>
      </c>
      <c r="E231" s="54" t="s">
        <v>4199</v>
      </c>
      <c r="F231" s="54" t="s">
        <v>4221</v>
      </c>
      <c r="G231" s="17"/>
      <c r="H231" s="17"/>
      <c r="I231" s="17"/>
      <c r="J231" s="17"/>
      <c r="K231" s="17"/>
      <c r="L231" s="96" t="s">
        <v>4888</v>
      </c>
      <c r="M231" s="96" t="s">
        <v>4420</v>
      </c>
      <c r="N231" s="96" t="s">
        <v>4345</v>
      </c>
      <c r="O231" s="54" t="s">
        <v>4474</v>
      </c>
      <c r="P231" s="54" t="s">
        <v>4553</v>
      </c>
      <c r="Q231" s="17"/>
      <c r="R231" s="17"/>
      <c r="S231" s="17" t="s">
        <v>4858</v>
      </c>
      <c r="T231" s="20"/>
      <c r="U231" s="20"/>
      <c r="V231" s="96" t="s">
        <v>4721</v>
      </c>
      <c r="W231" s="54" t="s">
        <v>4257</v>
      </c>
    </row>
    <row r="232" spans="1:23" ht="26.25" hidden="1" customHeight="1">
      <c r="A232" s="17"/>
      <c r="B232" s="17"/>
      <c r="C232" s="20"/>
      <c r="D232" s="54"/>
      <c r="E232" s="96" t="s">
        <v>4243</v>
      </c>
      <c r="F232" s="54" t="s">
        <v>4222</v>
      </c>
      <c r="G232" s="17"/>
      <c r="H232" s="17"/>
      <c r="I232" s="17"/>
      <c r="J232" s="17"/>
      <c r="K232" s="17"/>
      <c r="L232" s="55" t="s">
        <v>4887</v>
      </c>
      <c r="M232" s="99" t="s">
        <v>4445</v>
      </c>
      <c r="N232" s="54" t="s">
        <v>4367</v>
      </c>
      <c r="O232" s="96" t="s">
        <v>4507</v>
      </c>
      <c r="P232" s="54" t="s">
        <v>4580</v>
      </c>
      <c r="Q232" s="17"/>
      <c r="R232" s="17"/>
      <c r="S232" s="20"/>
      <c r="T232" s="17"/>
      <c r="U232" s="17"/>
      <c r="V232" s="54" t="s">
        <v>4773</v>
      </c>
      <c r="W232" s="54" t="s">
        <v>4355</v>
      </c>
    </row>
    <row r="233" spans="1:23" ht="26.25" hidden="1" customHeight="1">
      <c r="A233" s="17"/>
      <c r="B233" s="17"/>
      <c r="C233" s="17"/>
      <c r="D233" s="17"/>
      <c r="E233" s="96"/>
      <c r="F233" s="54" t="s">
        <v>4244</v>
      </c>
      <c r="G233" s="17"/>
      <c r="H233" s="17"/>
      <c r="I233" s="17"/>
      <c r="J233" s="17"/>
      <c r="K233" s="17"/>
      <c r="L233" s="96"/>
      <c r="M233" s="96" t="s">
        <v>4487</v>
      </c>
      <c r="N233" s="96" t="s">
        <v>4375</v>
      </c>
      <c r="O233" s="54"/>
      <c r="P233" s="54" t="s">
        <v>4625</v>
      </c>
      <c r="Q233" s="17"/>
      <c r="R233" s="17"/>
      <c r="S233" s="17"/>
      <c r="T233" s="17"/>
      <c r="U233" s="17"/>
      <c r="V233" s="54" t="s">
        <v>4792</v>
      </c>
      <c r="W233" s="54" t="s">
        <v>4358</v>
      </c>
    </row>
    <row r="234" spans="1:23" ht="26.25" hidden="1" customHeight="1">
      <c r="A234" s="17"/>
      <c r="B234" s="17"/>
      <c r="C234" s="17"/>
      <c r="D234" s="17"/>
      <c r="E234" s="17"/>
      <c r="F234" s="54" t="s">
        <v>4255</v>
      </c>
      <c r="G234" s="17"/>
      <c r="H234" s="17"/>
      <c r="I234" s="17"/>
      <c r="J234" s="17"/>
      <c r="K234" s="17"/>
      <c r="L234" s="20"/>
      <c r="M234" s="96" t="s">
        <v>4496</v>
      </c>
      <c r="N234" s="99" t="s">
        <v>4378</v>
      </c>
      <c r="O234" s="17"/>
      <c r="P234" s="54" t="s">
        <v>4641</v>
      </c>
      <c r="Q234" s="17"/>
      <c r="R234" s="17"/>
      <c r="S234" s="17"/>
      <c r="T234" s="17"/>
      <c r="U234" s="17"/>
      <c r="V234" s="54" t="s">
        <v>4780</v>
      </c>
      <c r="W234" s="146" t="s">
        <v>4359</v>
      </c>
    </row>
    <row r="235" spans="1:23" ht="26.25" hidden="1" customHeight="1">
      <c r="A235" s="17"/>
      <c r="B235" s="17"/>
      <c r="C235" s="17"/>
      <c r="D235" s="17"/>
      <c r="E235" s="17"/>
      <c r="F235" s="54" t="s">
        <v>4258</v>
      </c>
      <c r="G235" s="17"/>
      <c r="H235" s="17"/>
      <c r="I235" s="17"/>
      <c r="J235" s="17"/>
      <c r="K235" s="17"/>
      <c r="L235" s="17"/>
      <c r="M235" s="101" t="s">
        <v>4497</v>
      </c>
      <c r="N235" s="99" t="s">
        <v>4386</v>
      </c>
      <c r="O235" s="17"/>
      <c r="P235" s="55" t="s">
        <v>4628</v>
      </c>
      <c r="Q235" s="17"/>
      <c r="R235" s="17"/>
      <c r="S235" s="17"/>
      <c r="T235" s="17"/>
      <c r="U235" s="17"/>
      <c r="V235" s="54" t="s">
        <v>4781</v>
      </c>
      <c r="W235" s="54" t="s">
        <v>4377</v>
      </c>
    </row>
    <row r="236" spans="1:23" ht="26.25" hidden="1" customHeight="1">
      <c r="A236" s="17"/>
      <c r="B236" s="17"/>
      <c r="C236" s="17"/>
      <c r="D236" s="17"/>
      <c r="E236" s="17"/>
      <c r="F236" s="54" t="s">
        <v>4278</v>
      </c>
      <c r="G236" s="17"/>
      <c r="H236" s="17"/>
      <c r="I236" s="17"/>
      <c r="J236" s="17"/>
      <c r="K236" s="17"/>
      <c r="L236" s="17"/>
      <c r="M236" s="101" t="s">
        <v>4498</v>
      </c>
      <c r="N236" s="96" t="s">
        <v>4387</v>
      </c>
      <c r="O236" s="17"/>
      <c r="P236" s="54" t="s">
        <v>4673</v>
      </c>
      <c r="Q236" s="17"/>
      <c r="R236" s="17"/>
      <c r="S236" s="17"/>
      <c r="T236" s="17"/>
      <c r="U236" s="17"/>
      <c r="V236" s="54" t="s">
        <v>4782</v>
      </c>
      <c r="W236" s="54" t="s">
        <v>4429</v>
      </c>
    </row>
    <row r="237" spans="1:23" ht="26.25" hidden="1" customHeight="1">
      <c r="A237" s="17"/>
      <c r="B237" s="17"/>
      <c r="C237" s="17"/>
      <c r="D237" s="17"/>
      <c r="E237" s="17"/>
      <c r="F237" s="54" t="s">
        <v>4311</v>
      </c>
      <c r="G237" s="17"/>
      <c r="H237" s="17"/>
      <c r="I237" s="17"/>
      <c r="J237" s="17"/>
      <c r="K237" s="17"/>
      <c r="L237" s="17"/>
      <c r="M237" s="101" t="s">
        <v>4499</v>
      </c>
      <c r="N237" s="96" t="s">
        <v>4405</v>
      </c>
      <c r="O237" s="17"/>
      <c r="P237" s="99" t="s">
        <v>4713</v>
      </c>
      <c r="Q237" s="17"/>
      <c r="R237" s="17"/>
      <c r="S237" s="17"/>
      <c r="T237" s="17"/>
      <c r="U237" s="17"/>
      <c r="V237" s="54" t="s">
        <v>4783</v>
      </c>
      <c r="W237" s="54" t="s">
        <v>4434</v>
      </c>
    </row>
    <row r="238" spans="1:23" ht="26.25" hidden="1" customHeight="1">
      <c r="A238" s="17"/>
      <c r="B238" s="17"/>
      <c r="C238" s="17"/>
      <c r="D238" s="17"/>
      <c r="E238" s="20"/>
      <c r="F238" s="54" t="s">
        <v>4327</v>
      </c>
      <c r="G238" s="17"/>
      <c r="H238" s="17"/>
      <c r="I238" s="17"/>
      <c r="J238" s="17"/>
      <c r="K238" s="17"/>
      <c r="L238" s="17"/>
      <c r="M238" s="101" t="s">
        <v>4500</v>
      </c>
      <c r="N238" s="54" t="s">
        <v>4607</v>
      </c>
      <c r="O238" s="17"/>
      <c r="P238" s="99" t="s">
        <v>4689</v>
      </c>
      <c r="Q238" s="17"/>
      <c r="R238" s="17"/>
      <c r="S238" s="17"/>
      <c r="T238" s="17"/>
      <c r="U238" s="17"/>
      <c r="V238" s="54" t="s">
        <v>4784</v>
      </c>
      <c r="W238" s="96" t="s">
        <v>4447</v>
      </c>
    </row>
    <row r="239" spans="1:23" ht="26.25" hidden="1" customHeight="1">
      <c r="A239" s="17"/>
      <c r="B239" s="17"/>
      <c r="C239" s="17"/>
      <c r="D239" s="17"/>
      <c r="E239" s="17"/>
      <c r="F239" s="54" t="s">
        <v>4339</v>
      </c>
      <c r="G239" s="17"/>
      <c r="H239" s="17"/>
      <c r="I239" s="17"/>
      <c r="J239" s="20"/>
      <c r="K239" s="17"/>
      <c r="L239" s="17"/>
      <c r="M239" s="101" t="s">
        <v>4501</v>
      </c>
      <c r="N239" s="96" t="s">
        <v>4614</v>
      </c>
      <c r="O239" s="20"/>
      <c r="P239" s="54"/>
      <c r="Q239" s="17"/>
      <c r="R239" s="17"/>
      <c r="S239" s="17"/>
      <c r="T239" s="17"/>
      <c r="U239" s="17"/>
      <c r="V239" s="54" t="s">
        <v>4793</v>
      </c>
      <c r="W239" s="54" t="s">
        <v>4467</v>
      </c>
    </row>
    <row r="240" spans="1:23" ht="26.25" hidden="1" customHeight="1">
      <c r="A240" s="17"/>
      <c r="B240" s="17"/>
      <c r="C240" s="17"/>
      <c r="D240" s="17"/>
      <c r="E240" s="17"/>
      <c r="F240" s="96" t="s">
        <v>4352</v>
      </c>
      <c r="G240" s="17"/>
      <c r="H240" s="17"/>
      <c r="I240" s="17"/>
      <c r="J240" s="17"/>
      <c r="K240" s="17"/>
      <c r="L240" s="20"/>
      <c r="M240" s="101" t="s">
        <v>4502</v>
      </c>
      <c r="N240" s="96" t="s">
        <v>4624</v>
      </c>
      <c r="O240" s="17"/>
      <c r="P240" s="17"/>
      <c r="Q240" s="17"/>
      <c r="R240" s="17"/>
      <c r="S240" s="17"/>
      <c r="T240" s="17"/>
      <c r="U240" s="17"/>
      <c r="V240" s="54" t="s">
        <v>4794</v>
      </c>
      <c r="W240" s="96" t="s">
        <v>4508</v>
      </c>
    </row>
    <row r="241" spans="1:23" ht="26.25" hidden="1" customHeight="1">
      <c r="A241" s="17"/>
      <c r="B241" s="17"/>
      <c r="C241" s="17"/>
      <c r="D241" s="17"/>
      <c r="E241" s="17"/>
      <c r="F241" s="96" t="s">
        <v>4475</v>
      </c>
      <c r="G241" s="17"/>
      <c r="H241" s="17"/>
      <c r="I241" s="17"/>
      <c r="J241" s="17"/>
      <c r="K241" s="17"/>
      <c r="L241" s="20"/>
      <c r="M241" s="101" t="s">
        <v>4503</v>
      </c>
      <c r="N241" s="99" t="s">
        <v>4640</v>
      </c>
      <c r="O241" s="17"/>
      <c r="P241" s="17"/>
      <c r="Q241" s="17"/>
      <c r="R241" s="17"/>
      <c r="S241" s="17"/>
      <c r="T241" s="17"/>
      <c r="U241" s="17"/>
      <c r="V241" s="54" t="s">
        <v>4795</v>
      </c>
      <c r="W241" s="54" t="s">
        <v>4554</v>
      </c>
    </row>
    <row r="242" spans="1:23" ht="26.25" hidden="1" customHeight="1">
      <c r="A242" s="17"/>
      <c r="B242" s="17"/>
      <c r="C242" s="17"/>
      <c r="D242" s="17"/>
      <c r="E242" s="17"/>
      <c r="F242" s="96" t="s">
        <v>4609</v>
      </c>
      <c r="G242" s="17"/>
      <c r="H242" s="17"/>
      <c r="I242" s="17"/>
      <c r="J242" s="17"/>
      <c r="K242" s="17"/>
      <c r="L242" s="20"/>
      <c r="M242" s="101" t="s">
        <v>4504</v>
      </c>
      <c r="N242" s="96" t="s">
        <v>4658</v>
      </c>
      <c r="O242" s="17"/>
      <c r="P242" s="17"/>
      <c r="Q242" s="17"/>
      <c r="R242" s="17"/>
      <c r="S242" s="17"/>
      <c r="T242" s="17"/>
      <c r="U242" s="17"/>
      <c r="V242" s="54" t="s">
        <v>4801</v>
      </c>
      <c r="W242" s="96" t="s">
        <v>4544</v>
      </c>
    </row>
    <row r="243" spans="1:23" ht="26.25" hidden="1" customHeight="1">
      <c r="A243" s="17"/>
      <c r="B243" s="17"/>
      <c r="C243" s="17"/>
      <c r="D243" s="17"/>
      <c r="E243" s="17"/>
      <c r="F243" s="54" t="s">
        <v>4613</v>
      </c>
      <c r="G243" s="17"/>
      <c r="H243" s="17"/>
      <c r="I243" s="17"/>
      <c r="J243" s="17"/>
      <c r="K243" s="17"/>
      <c r="L243" s="20"/>
      <c r="M243" s="101" t="s">
        <v>4511</v>
      </c>
      <c r="N243" s="96" t="s">
        <v>4664</v>
      </c>
      <c r="O243" s="20"/>
      <c r="P243" s="17"/>
      <c r="Q243" s="17"/>
      <c r="R243" s="17"/>
      <c r="S243" s="17"/>
      <c r="T243" s="17"/>
      <c r="U243" s="17"/>
      <c r="V243" s="55"/>
      <c r="W243" s="54" t="s">
        <v>4545</v>
      </c>
    </row>
    <row r="244" spans="1:23" ht="26.25" hidden="1" customHeight="1">
      <c r="A244" s="17"/>
      <c r="B244" s="17"/>
      <c r="C244" s="17"/>
      <c r="D244" s="17"/>
      <c r="E244" s="17"/>
      <c r="F244" s="54" t="s">
        <v>4639</v>
      </c>
      <c r="G244" s="17"/>
      <c r="H244" s="17"/>
      <c r="I244" s="17"/>
      <c r="J244" s="17"/>
      <c r="K244" s="17"/>
      <c r="L244" s="20"/>
      <c r="M244" s="101" t="s">
        <v>4512</v>
      </c>
      <c r="N244" s="96" t="s">
        <v>4671</v>
      </c>
      <c r="O244" s="20"/>
      <c r="P244" s="17"/>
      <c r="Q244" s="17"/>
      <c r="R244" s="17"/>
      <c r="S244" s="17"/>
      <c r="T244" s="17"/>
      <c r="U244" s="17"/>
      <c r="V244" s="17"/>
      <c r="W244" s="54" t="s">
        <v>4589</v>
      </c>
    </row>
    <row r="245" spans="1:23" ht="26.25" hidden="1" customHeight="1">
      <c r="A245" s="17"/>
      <c r="B245" s="17"/>
      <c r="C245" s="36"/>
      <c r="D245" s="17"/>
      <c r="E245" s="17"/>
      <c r="F245" s="54" t="s">
        <v>4656</v>
      </c>
      <c r="G245" s="17"/>
      <c r="H245" s="17"/>
      <c r="I245" s="17"/>
      <c r="J245" s="17"/>
      <c r="K245" s="17"/>
      <c r="L245" s="20"/>
      <c r="M245" s="101" t="s">
        <v>4516</v>
      </c>
      <c r="N245" s="54" t="s">
        <v>4672</v>
      </c>
      <c r="O245" s="17"/>
      <c r="P245" s="17"/>
      <c r="Q245" s="17"/>
      <c r="R245" s="17"/>
      <c r="S245" s="17"/>
      <c r="T245" s="17"/>
      <c r="U245" s="17"/>
      <c r="V245" s="17"/>
      <c r="W245" s="54" t="s">
        <v>4590</v>
      </c>
    </row>
    <row r="246" spans="1:23" ht="26.25" hidden="1" customHeight="1">
      <c r="A246" s="17"/>
      <c r="B246" s="17"/>
      <c r="C246" s="17"/>
      <c r="D246" s="36"/>
      <c r="E246" s="17"/>
      <c r="F246" s="55" t="s">
        <v>4670</v>
      </c>
      <c r="G246" s="17"/>
      <c r="H246" s="17"/>
      <c r="I246" s="17"/>
      <c r="J246" s="17"/>
      <c r="K246" s="17"/>
      <c r="L246" s="20"/>
      <c r="M246" s="152" t="s">
        <v>4540</v>
      </c>
      <c r="N246" s="96" t="s">
        <v>4704</v>
      </c>
      <c r="O246" s="17"/>
      <c r="P246" s="17"/>
      <c r="Q246" s="17"/>
      <c r="R246" s="17"/>
      <c r="S246" s="17"/>
      <c r="T246" s="17"/>
      <c r="U246" s="17"/>
      <c r="V246" s="17"/>
      <c r="W246" s="55" t="s">
        <v>4592</v>
      </c>
    </row>
    <row r="247" spans="1:23" ht="26.25" hidden="1" customHeight="1">
      <c r="A247" s="17"/>
      <c r="B247" s="17"/>
      <c r="C247" s="17"/>
      <c r="D247" s="17"/>
      <c r="E247" s="17"/>
      <c r="F247" s="54" t="s">
        <v>4734</v>
      </c>
      <c r="G247" s="17"/>
      <c r="H247" s="17"/>
      <c r="I247" s="17"/>
      <c r="J247" s="17"/>
      <c r="K247" s="17"/>
      <c r="L247" s="20"/>
      <c r="M247" s="152" t="s">
        <v>4541</v>
      </c>
      <c r="N247" s="96" t="s">
        <v>4854</v>
      </c>
      <c r="O247" s="17"/>
      <c r="P247" s="17"/>
      <c r="Q247" s="17"/>
      <c r="R247" s="17"/>
      <c r="S247" s="17"/>
      <c r="T247" s="17"/>
      <c r="U247" s="17"/>
      <c r="V247" s="17"/>
      <c r="W247" s="54" t="s">
        <v>4608</v>
      </c>
    </row>
    <row r="248" spans="1:23" ht="26.25" hidden="1" customHeight="1">
      <c r="A248" s="17"/>
      <c r="B248" s="17"/>
      <c r="C248" s="17"/>
      <c r="D248" s="17"/>
      <c r="E248" s="20"/>
      <c r="F248" s="54" t="s">
        <v>4799</v>
      </c>
      <c r="G248" s="17"/>
      <c r="H248" s="17"/>
      <c r="I248" s="17"/>
      <c r="J248" s="17"/>
      <c r="K248" s="17"/>
      <c r="L248" s="20"/>
      <c r="M248" s="152" t="s">
        <v>4542</v>
      </c>
      <c r="N248" s="99" t="s">
        <v>4879</v>
      </c>
      <c r="O248" s="17"/>
      <c r="P248" s="17"/>
      <c r="Q248" s="17"/>
      <c r="R248" s="17"/>
      <c r="S248" s="17"/>
      <c r="T248" s="17"/>
      <c r="U248" s="17"/>
      <c r="V248" s="17"/>
      <c r="W248" s="54" t="s">
        <v>4610</v>
      </c>
    </row>
    <row r="249" spans="1:23" ht="26.25" hidden="1" customHeight="1">
      <c r="A249" s="17"/>
      <c r="B249" s="17"/>
      <c r="C249" s="20"/>
      <c r="D249" s="20"/>
      <c r="E249" s="20"/>
      <c r="F249" s="54"/>
      <c r="G249" s="17"/>
      <c r="H249" s="17"/>
      <c r="I249" s="17"/>
      <c r="J249" s="17"/>
      <c r="K249" s="17"/>
      <c r="L249" s="20"/>
      <c r="M249" s="152" t="s">
        <v>4543</v>
      </c>
      <c r="N249" s="96" t="s">
        <v>4893</v>
      </c>
      <c r="O249" s="36"/>
      <c r="P249" s="17"/>
      <c r="Q249" s="17"/>
      <c r="R249" s="17"/>
      <c r="S249" s="17"/>
      <c r="T249" s="17"/>
      <c r="U249" s="17"/>
      <c r="V249" s="17"/>
      <c r="W249" s="54" t="s">
        <v>4626</v>
      </c>
    </row>
    <row r="250" spans="1:23" ht="26.25" hidden="1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20"/>
      <c r="M250" s="152" t="s">
        <v>4552</v>
      </c>
      <c r="N250" s="54"/>
      <c r="O250" s="17"/>
      <c r="P250" s="17"/>
      <c r="Q250" s="17"/>
      <c r="R250" s="17"/>
      <c r="S250" s="17"/>
      <c r="T250" s="17"/>
      <c r="U250" s="17"/>
      <c r="V250" s="17"/>
      <c r="W250" s="54" t="s">
        <v>4642</v>
      </c>
    </row>
    <row r="251" spans="1:23" ht="26.25" hidden="1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20"/>
      <c r="M251" s="152" t="s">
        <v>4558</v>
      </c>
      <c r="N251" s="17"/>
      <c r="O251" s="17"/>
      <c r="P251" s="17"/>
      <c r="Q251" s="17"/>
      <c r="R251" s="17"/>
      <c r="S251" s="17"/>
      <c r="T251" s="17"/>
      <c r="U251" s="17"/>
      <c r="V251" s="17"/>
      <c r="W251" s="96" t="s">
        <v>4674</v>
      </c>
    </row>
    <row r="252" spans="1:23" ht="26.25" hidden="1" customHeight="1">
      <c r="A252" s="17"/>
      <c r="B252" s="17"/>
      <c r="C252" s="17"/>
      <c r="D252" s="17"/>
      <c r="E252" s="17"/>
      <c r="F252" s="20"/>
      <c r="G252" s="17"/>
      <c r="H252" s="17"/>
      <c r="I252" s="17"/>
      <c r="J252" s="17"/>
      <c r="K252" s="17"/>
      <c r="L252" s="20"/>
      <c r="M252" s="152" t="s">
        <v>4559</v>
      </c>
      <c r="N252" s="20"/>
      <c r="O252" s="17"/>
      <c r="P252" s="17"/>
      <c r="Q252" s="17"/>
      <c r="R252" s="17"/>
      <c r="S252" s="17"/>
      <c r="T252" s="17"/>
      <c r="U252" s="17"/>
      <c r="V252" s="17"/>
      <c r="W252" s="55" t="s">
        <v>4686</v>
      </c>
    </row>
    <row r="253" spans="1:23" ht="26.25" hidden="1" customHeight="1">
      <c r="A253" s="17"/>
      <c r="B253" s="17"/>
      <c r="C253" s="17"/>
      <c r="D253" s="17"/>
      <c r="E253" s="17"/>
      <c r="F253" s="20"/>
      <c r="G253" s="17"/>
      <c r="H253" s="17"/>
      <c r="I253" s="17"/>
      <c r="J253" s="17"/>
      <c r="K253" s="17"/>
      <c r="L253" s="20"/>
      <c r="M253" s="152" t="s">
        <v>4560</v>
      </c>
      <c r="N253" s="20"/>
      <c r="O253" s="17"/>
      <c r="P253" s="17"/>
      <c r="Q253" s="17"/>
      <c r="R253" s="17"/>
      <c r="S253" s="17"/>
      <c r="T253" s="17"/>
      <c r="U253" s="17"/>
      <c r="V253" s="17"/>
      <c r="W253" s="55" t="s">
        <v>4687</v>
      </c>
    </row>
    <row r="254" spans="1:23" ht="26.25" hidden="1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20"/>
      <c r="M254" s="152" t="s">
        <v>4561</v>
      </c>
      <c r="N254" s="20"/>
      <c r="O254" s="17"/>
      <c r="P254" s="17"/>
      <c r="Q254" s="17"/>
      <c r="R254" s="17"/>
      <c r="S254" s="17"/>
      <c r="T254" s="17"/>
      <c r="U254" s="17"/>
      <c r="V254" s="17"/>
      <c r="W254" s="55" t="s">
        <v>4688</v>
      </c>
    </row>
    <row r="255" spans="1:23" ht="26.25" hidden="1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20"/>
      <c r="M255" s="152" t="s">
        <v>4562</v>
      </c>
      <c r="N255" s="20"/>
      <c r="O255" s="17"/>
      <c r="P255" s="17"/>
      <c r="Q255" s="17"/>
      <c r="R255" s="17"/>
      <c r="S255" s="17"/>
      <c r="T255" s="17"/>
      <c r="U255" s="17"/>
      <c r="V255" s="17"/>
      <c r="W255" s="55" t="s">
        <v>4695</v>
      </c>
    </row>
    <row r="256" spans="1:23" ht="26.25" hidden="1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20"/>
      <c r="M256" s="152" t="s">
        <v>4563</v>
      </c>
      <c r="N256" s="20"/>
      <c r="O256" s="17"/>
      <c r="P256" s="17"/>
      <c r="Q256" s="17"/>
      <c r="R256" s="17"/>
      <c r="S256" s="17"/>
      <c r="T256" s="17"/>
      <c r="U256" s="17"/>
      <c r="V256" s="17"/>
      <c r="W256" s="54" t="s">
        <v>4703</v>
      </c>
    </row>
    <row r="257" spans="1:23" ht="26.25" hidden="1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20"/>
      <c r="M257" s="152" t="s">
        <v>4571</v>
      </c>
      <c r="N257" s="20"/>
      <c r="O257" s="17"/>
      <c r="P257" s="17"/>
      <c r="Q257" s="17"/>
      <c r="R257" s="17"/>
      <c r="S257" s="17"/>
      <c r="T257" s="17"/>
      <c r="U257" s="17"/>
      <c r="V257" s="17"/>
      <c r="W257" s="54" t="s">
        <v>4724</v>
      </c>
    </row>
    <row r="258" spans="1:23" ht="26.25" hidden="1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20"/>
      <c r="M258" s="152" t="s">
        <v>4579</v>
      </c>
      <c r="N258" s="36"/>
      <c r="O258" s="17"/>
      <c r="P258" s="17"/>
      <c r="Q258" s="17"/>
      <c r="R258" s="17"/>
      <c r="S258" s="17"/>
      <c r="T258" s="17"/>
      <c r="U258" s="17"/>
      <c r="V258" s="17"/>
      <c r="W258" s="99" t="s">
        <v>4742</v>
      </c>
    </row>
    <row r="259" spans="1:23" ht="26.25" hidden="1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20"/>
      <c r="M259" s="152" t="s">
        <v>4588</v>
      </c>
      <c r="N259" s="20"/>
      <c r="O259" s="17"/>
      <c r="P259" s="17"/>
      <c r="Q259" s="17"/>
      <c r="R259" s="17"/>
      <c r="S259" s="17"/>
      <c r="T259" s="17"/>
      <c r="U259" s="17"/>
      <c r="V259" s="17"/>
      <c r="W259" s="55" t="s">
        <v>4743</v>
      </c>
    </row>
    <row r="260" spans="1:23" ht="26.25" hidden="1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20"/>
      <c r="M260" s="152" t="s">
        <v>4606</v>
      </c>
      <c r="N260" s="20"/>
      <c r="O260" s="17"/>
      <c r="P260" s="17"/>
      <c r="Q260" s="17"/>
      <c r="R260" s="17"/>
      <c r="S260" s="17"/>
      <c r="T260" s="17"/>
      <c r="U260" s="17"/>
      <c r="V260" s="17"/>
      <c r="W260" s="54" t="s">
        <v>4748</v>
      </c>
    </row>
    <row r="261" spans="1:23" ht="26.25" hidden="1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20"/>
      <c r="M261" s="152" t="s">
        <v>4629</v>
      </c>
      <c r="N261" s="20"/>
      <c r="O261" s="17"/>
      <c r="P261" s="17"/>
      <c r="Q261" s="17"/>
      <c r="R261" s="17"/>
      <c r="S261" s="17"/>
      <c r="T261" s="17"/>
      <c r="U261" s="17"/>
      <c r="V261" s="17"/>
      <c r="W261" s="54" t="s">
        <v>4774</v>
      </c>
    </row>
    <row r="262" spans="1:23" ht="26.25" hidden="1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52" t="s">
        <v>4630</v>
      </c>
      <c r="N262" s="20"/>
      <c r="O262" s="17"/>
      <c r="P262" s="17"/>
      <c r="Q262" s="17"/>
      <c r="R262" s="17"/>
      <c r="S262" s="17"/>
      <c r="T262" s="17"/>
      <c r="U262" s="17"/>
      <c r="V262" s="17"/>
      <c r="W262" s="54" t="s">
        <v>4744</v>
      </c>
    </row>
    <row r="263" spans="1:23" ht="26.25" hidden="1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52" t="s">
        <v>4631</v>
      </c>
      <c r="N263" s="17"/>
      <c r="O263" s="17"/>
      <c r="P263" s="17"/>
      <c r="Q263" s="17"/>
      <c r="R263" s="17"/>
      <c r="S263" s="17"/>
      <c r="T263" s="17"/>
      <c r="U263" s="17"/>
      <c r="V263" s="17"/>
      <c r="W263" s="54" t="s">
        <v>4798</v>
      </c>
    </row>
    <row r="264" spans="1:23" ht="26.25" hidden="1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52" t="s">
        <v>4632</v>
      </c>
      <c r="N264" s="17"/>
      <c r="O264" s="17"/>
      <c r="P264" s="17"/>
      <c r="Q264" s="17"/>
      <c r="R264" s="17"/>
      <c r="S264" s="17"/>
      <c r="T264" s="17"/>
      <c r="U264" s="17"/>
      <c r="V264" s="17"/>
      <c r="W264" s="54" t="s">
        <v>4802</v>
      </c>
    </row>
    <row r="265" spans="1:23" ht="26.25" hidden="1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52" t="s">
        <v>4649</v>
      </c>
      <c r="N265" s="17"/>
      <c r="O265" s="17"/>
      <c r="P265" s="17"/>
      <c r="Q265" s="17"/>
      <c r="R265" s="17"/>
      <c r="S265" s="17"/>
      <c r="T265" s="17"/>
      <c r="U265" s="17"/>
      <c r="V265" s="17"/>
      <c r="W265" s="54" t="s">
        <v>4819</v>
      </c>
    </row>
    <row r="266" spans="1:23" ht="26.25" hidden="1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52" t="s">
        <v>4648</v>
      </c>
      <c r="N266" s="17"/>
      <c r="O266" s="17"/>
      <c r="P266" s="17"/>
      <c r="Q266" s="17"/>
      <c r="R266" s="17"/>
      <c r="S266" s="17"/>
      <c r="T266" s="17"/>
      <c r="U266" s="17"/>
      <c r="V266" s="17"/>
      <c r="W266" s="54" t="s">
        <v>4828</v>
      </c>
    </row>
    <row r="267" spans="1:23" ht="26.25" hidden="1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52" t="s">
        <v>4647</v>
      </c>
      <c r="N267" s="17"/>
      <c r="O267" s="17"/>
      <c r="P267" s="17"/>
      <c r="Q267" s="17"/>
      <c r="R267" s="17"/>
      <c r="S267" s="17"/>
      <c r="T267" s="17"/>
      <c r="U267" s="17"/>
      <c r="V267" s="17"/>
      <c r="W267" s="55" t="s">
        <v>4868</v>
      </c>
    </row>
    <row r="268" spans="1:23" ht="26.25" hidden="1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52" t="s">
        <v>4646</v>
      </c>
      <c r="N268" s="17"/>
      <c r="O268" s="17"/>
      <c r="P268" s="17"/>
      <c r="Q268" s="17"/>
      <c r="R268" s="17"/>
      <c r="S268" s="17"/>
      <c r="T268" s="17"/>
      <c r="U268" s="17"/>
      <c r="V268" s="17"/>
      <c r="W268" s="55" t="s">
        <v>4867</v>
      </c>
    </row>
    <row r="269" spans="1:23" ht="26.25" hidden="1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52" t="s">
        <v>4645</v>
      </c>
      <c r="N269" s="20"/>
      <c r="O269" s="17"/>
      <c r="P269" s="17"/>
      <c r="Q269" s="17"/>
      <c r="R269" s="17"/>
      <c r="S269" s="17"/>
      <c r="T269" s="17"/>
      <c r="U269" s="17"/>
      <c r="V269" s="17"/>
      <c r="W269" s="54" t="s">
        <v>4898</v>
      </c>
    </row>
    <row r="270" spans="1:23" ht="26.25" hidden="1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52" t="s">
        <v>4644</v>
      </c>
      <c r="N270" s="17"/>
      <c r="O270" s="17"/>
      <c r="P270" s="17"/>
      <c r="Q270" s="17"/>
      <c r="R270" s="17"/>
      <c r="S270" s="17"/>
      <c r="T270" s="17"/>
      <c r="U270" s="17"/>
      <c r="V270" s="17"/>
      <c r="W270" s="54"/>
    </row>
    <row r="271" spans="1:23" ht="26.25" hidden="1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52" t="s">
        <v>4643</v>
      </c>
      <c r="N271" s="17"/>
      <c r="O271" s="17"/>
      <c r="P271" s="17"/>
      <c r="Q271" s="17"/>
      <c r="R271" s="17"/>
      <c r="S271" s="17"/>
      <c r="T271" s="17"/>
      <c r="U271" s="17"/>
      <c r="V271" s="17"/>
      <c r="W271" s="17"/>
    </row>
    <row r="272" spans="1:23" ht="26.25" hidden="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52" t="s">
        <v>4657</v>
      </c>
      <c r="N272" s="17"/>
      <c r="O272" s="17"/>
      <c r="P272" s="17"/>
      <c r="Q272" s="17"/>
      <c r="R272" s="17"/>
      <c r="S272" s="17"/>
      <c r="T272" s="17"/>
      <c r="U272" s="17"/>
      <c r="V272" s="17"/>
      <c r="W272" s="17"/>
    </row>
    <row r="273" spans="1:23" ht="26.25" hidden="1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96" t="s">
        <v>4682</v>
      </c>
      <c r="N273" s="17"/>
      <c r="O273" s="17"/>
      <c r="P273" s="17"/>
      <c r="Q273" s="17"/>
      <c r="R273" s="17"/>
      <c r="S273" s="17"/>
      <c r="T273" s="17"/>
      <c r="U273" s="17"/>
      <c r="V273" s="17"/>
      <c r="W273" s="17"/>
    </row>
    <row r="274" spans="1:23" ht="26.25" hidden="1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96" t="s">
        <v>4683</v>
      </c>
      <c r="N274" s="17"/>
      <c r="O274" s="17"/>
      <c r="P274" s="17"/>
      <c r="Q274" s="17"/>
      <c r="R274" s="17"/>
      <c r="S274" s="17"/>
      <c r="T274" s="17"/>
      <c r="U274" s="17"/>
      <c r="V274" s="17"/>
      <c r="W274" s="17"/>
    </row>
    <row r="275" spans="1:23" ht="26.25" hidden="1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96" t="s">
        <v>4684</v>
      </c>
      <c r="N275" s="17"/>
      <c r="O275" s="17"/>
      <c r="P275" s="17"/>
      <c r="Q275" s="17"/>
      <c r="R275" s="17"/>
      <c r="S275" s="17"/>
      <c r="T275" s="17"/>
      <c r="U275" s="17"/>
      <c r="V275" s="17"/>
      <c r="W275" s="17"/>
    </row>
    <row r="276" spans="1:23" ht="26.25" hidden="1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96" t="s">
        <v>4685</v>
      </c>
      <c r="N276" s="17"/>
      <c r="O276" s="17"/>
      <c r="P276" s="17"/>
      <c r="Q276" s="17"/>
      <c r="R276" s="17"/>
      <c r="S276" s="17"/>
      <c r="T276" s="17"/>
      <c r="U276" s="17"/>
      <c r="V276" s="17"/>
      <c r="W276" s="17"/>
    </row>
    <row r="277" spans="1:23" ht="26.25" hidden="1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96" t="s">
        <v>4694</v>
      </c>
      <c r="N277" s="17"/>
      <c r="O277" s="17"/>
      <c r="P277" s="17"/>
      <c r="Q277" s="17"/>
      <c r="R277" s="17"/>
      <c r="S277" s="17"/>
      <c r="T277" s="17"/>
      <c r="U277" s="17"/>
      <c r="V277" s="17"/>
      <c r="W277" s="17"/>
    </row>
    <row r="278" spans="1:23" ht="26.25" hidden="1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96" t="s">
        <v>4712</v>
      </c>
      <c r="N278" s="17"/>
      <c r="O278" s="17"/>
      <c r="P278" s="17"/>
      <c r="Q278" s="17"/>
      <c r="R278" s="17"/>
      <c r="S278" s="17"/>
      <c r="T278" s="17"/>
      <c r="U278" s="17"/>
      <c r="V278" s="17"/>
      <c r="W278" s="17"/>
    </row>
    <row r="279" spans="1:23" ht="26.25" hidden="1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55" t="s">
        <v>4705</v>
      </c>
      <c r="N279" s="17"/>
      <c r="O279" s="17"/>
      <c r="P279" s="17"/>
      <c r="Q279" s="17"/>
      <c r="R279" s="17"/>
      <c r="S279" s="17"/>
      <c r="T279" s="17"/>
      <c r="U279" s="17"/>
      <c r="V279" s="17"/>
      <c r="W279" s="17"/>
    </row>
    <row r="280" spans="1:23" ht="26.25" hidden="1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54" t="s">
        <v>4733</v>
      </c>
      <c r="N280" s="17"/>
      <c r="O280" s="17"/>
      <c r="P280" s="17"/>
      <c r="Q280" s="17"/>
      <c r="R280" s="17"/>
      <c r="S280" s="17"/>
      <c r="T280" s="17"/>
      <c r="U280" s="17"/>
      <c r="V280" s="17"/>
      <c r="W280" s="17"/>
    </row>
    <row r="281" spans="1:23" ht="26.25" hidden="1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96" t="s">
        <v>4771</v>
      </c>
      <c r="N281" s="17"/>
      <c r="O281" s="17"/>
      <c r="P281" s="17"/>
      <c r="Q281" s="17"/>
      <c r="R281" s="17"/>
      <c r="S281" s="17"/>
      <c r="T281" s="17"/>
      <c r="U281" s="17"/>
      <c r="V281" s="17"/>
      <c r="W281" s="17"/>
    </row>
    <row r="282" spans="1:23" ht="26.25" hidden="1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55" t="s">
        <v>4770</v>
      </c>
      <c r="N282" s="17"/>
      <c r="O282" s="17"/>
      <c r="P282" s="17"/>
      <c r="Q282" s="17"/>
      <c r="R282" s="17"/>
      <c r="S282" s="17"/>
      <c r="T282" s="17"/>
      <c r="U282" s="17"/>
      <c r="V282" s="17"/>
      <c r="W282" s="17"/>
    </row>
    <row r="283" spans="1:23" ht="26.25" hidden="1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54" t="s">
        <v>4800</v>
      </c>
      <c r="N283" s="17"/>
      <c r="O283" s="17"/>
      <c r="P283" s="17"/>
      <c r="Q283" s="17"/>
      <c r="R283" s="17"/>
      <c r="S283" s="17"/>
      <c r="T283" s="17"/>
      <c r="U283" s="17"/>
      <c r="V283" s="17"/>
      <c r="W283" s="17"/>
    </row>
    <row r="284" spans="1:23" ht="26.25" hidden="1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54" t="s">
        <v>4817</v>
      </c>
      <c r="N284" s="17"/>
      <c r="O284" s="17"/>
      <c r="P284" s="17"/>
      <c r="Q284" s="17"/>
      <c r="R284" s="17"/>
      <c r="S284" s="17"/>
      <c r="T284" s="17"/>
      <c r="U284" s="17"/>
      <c r="V284" s="17"/>
      <c r="W284" s="17"/>
    </row>
    <row r="285" spans="1:23" ht="26.25" hidden="1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54" t="s">
        <v>4827</v>
      </c>
      <c r="N285" s="17"/>
      <c r="O285" s="17"/>
      <c r="P285" s="17"/>
      <c r="Q285" s="17"/>
      <c r="R285" s="17"/>
      <c r="S285" s="17"/>
      <c r="T285" s="17"/>
      <c r="U285" s="17"/>
      <c r="V285" s="17"/>
      <c r="W285" s="17"/>
    </row>
    <row r="286" spans="1:23" ht="26.25" hidden="1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54" t="s">
        <v>4831</v>
      </c>
      <c r="N286" s="17"/>
      <c r="O286" s="17"/>
      <c r="P286" s="17"/>
      <c r="Q286" s="17"/>
      <c r="R286" s="17"/>
      <c r="S286" s="17"/>
      <c r="T286" s="17"/>
      <c r="U286" s="17"/>
      <c r="V286" s="17"/>
      <c r="W286" s="17"/>
    </row>
    <row r="287" spans="1:23" ht="26.25" hidden="1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54" t="s">
        <v>4832</v>
      </c>
      <c r="N287" s="17"/>
      <c r="O287" s="17"/>
      <c r="P287" s="17"/>
      <c r="Q287" s="17"/>
      <c r="R287" s="17"/>
      <c r="S287" s="17"/>
      <c r="T287" s="17"/>
      <c r="U287" s="17"/>
      <c r="V287" s="17"/>
      <c r="W287" s="17"/>
    </row>
    <row r="288" spans="1:23" ht="26.25" hidden="1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54" t="s">
        <v>4833</v>
      </c>
      <c r="N288" s="17"/>
      <c r="O288" s="17"/>
      <c r="P288" s="17"/>
      <c r="Q288" s="17"/>
      <c r="R288" s="17"/>
      <c r="S288" s="17"/>
      <c r="T288" s="17"/>
      <c r="U288" s="17"/>
      <c r="V288" s="17"/>
      <c r="W288" s="17"/>
    </row>
    <row r="289" spans="1:23" ht="26.25" hidden="1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54" t="s">
        <v>4834</v>
      </c>
      <c r="N289" s="17"/>
      <c r="O289" s="17"/>
      <c r="P289" s="17"/>
      <c r="Q289" s="17"/>
      <c r="R289" s="17"/>
      <c r="S289" s="17"/>
      <c r="T289" s="17"/>
      <c r="U289" s="17"/>
      <c r="V289" s="17"/>
      <c r="W289" s="17"/>
    </row>
    <row r="290" spans="1:23" ht="26.25" hidden="1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54" t="s">
        <v>4835</v>
      </c>
      <c r="N290" s="17"/>
      <c r="O290" s="17"/>
      <c r="P290" s="17"/>
      <c r="Q290" s="17"/>
      <c r="R290" s="17"/>
      <c r="S290" s="17"/>
      <c r="T290" s="17"/>
      <c r="U290" s="17"/>
      <c r="V290" s="17"/>
      <c r="W290" s="17"/>
    </row>
    <row r="291" spans="1:23" ht="26.25" hidden="1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54" t="s">
        <v>4836</v>
      </c>
      <c r="N291" s="17"/>
      <c r="O291" s="17"/>
      <c r="P291" s="17"/>
      <c r="Q291" s="17"/>
      <c r="R291" s="17"/>
      <c r="S291" s="17"/>
      <c r="T291" s="17"/>
      <c r="U291" s="17"/>
      <c r="V291" s="17"/>
      <c r="W291" s="17"/>
    </row>
    <row r="292" spans="1:23" ht="26.25" hidden="1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54" t="s">
        <v>4837</v>
      </c>
      <c r="N292" s="17"/>
      <c r="O292" s="17"/>
      <c r="P292" s="17"/>
      <c r="Q292" s="17"/>
      <c r="R292" s="17"/>
      <c r="S292" s="17"/>
      <c r="T292" s="17"/>
      <c r="U292" s="17"/>
      <c r="V292" s="17"/>
      <c r="W292" s="17"/>
    </row>
    <row r="293" spans="1:23" ht="26.25" hidden="1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55" t="s">
        <v>4840</v>
      </c>
      <c r="N293" s="17"/>
      <c r="O293" s="17"/>
      <c r="P293" s="17"/>
      <c r="Q293" s="17"/>
      <c r="R293" s="17"/>
      <c r="S293" s="17"/>
      <c r="T293" s="17"/>
      <c r="U293" s="17"/>
      <c r="V293" s="17"/>
      <c r="W293" s="17"/>
    </row>
    <row r="294" spans="1:23" ht="26.25" hidden="1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55" t="s">
        <v>4841</v>
      </c>
      <c r="N294" s="17"/>
      <c r="O294" s="17"/>
      <c r="P294" s="17"/>
      <c r="Q294" s="17"/>
      <c r="R294" s="17"/>
      <c r="S294" s="17"/>
      <c r="T294" s="17"/>
      <c r="U294" s="17"/>
      <c r="V294" s="17"/>
      <c r="W294" s="17"/>
    </row>
    <row r="295" spans="1:23" ht="26.25" hidden="1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55" t="s">
        <v>4842</v>
      </c>
      <c r="N295" s="17"/>
      <c r="O295" s="17"/>
      <c r="P295" s="17"/>
      <c r="Q295" s="17"/>
      <c r="R295" s="17"/>
      <c r="S295" s="17"/>
      <c r="T295" s="17"/>
      <c r="U295" s="17"/>
      <c r="V295" s="17"/>
      <c r="W295" s="17"/>
    </row>
    <row r="296" spans="1:23" ht="26.25" hidden="1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99" t="s">
        <v>4843</v>
      </c>
      <c r="N296" s="17"/>
      <c r="O296" s="17"/>
      <c r="P296" s="17"/>
      <c r="Q296" s="17"/>
      <c r="R296" s="17"/>
      <c r="S296" s="17"/>
      <c r="T296" s="17"/>
      <c r="U296" s="17"/>
      <c r="V296" s="17"/>
      <c r="W296" s="17"/>
    </row>
    <row r="297" spans="1:23" ht="26.25" hidden="1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99" t="s">
        <v>4844</v>
      </c>
      <c r="N297" s="17"/>
      <c r="O297" s="17"/>
      <c r="P297" s="17"/>
      <c r="Q297" s="17"/>
      <c r="R297" s="17"/>
      <c r="S297" s="17"/>
      <c r="T297" s="17"/>
      <c r="U297" s="17"/>
      <c r="V297" s="17"/>
      <c r="W297" s="17"/>
    </row>
    <row r="298" spans="1:23" ht="26.25" hidden="1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55" t="s">
        <v>4851</v>
      </c>
      <c r="N298" s="17"/>
      <c r="O298" s="17"/>
      <c r="P298" s="17"/>
      <c r="Q298" s="17"/>
      <c r="R298" s="17"/>
      <c r="S298" s="17"/>
      <c r="T298" s="17"/>
      <c r="U298" s="17"/>
      <c r="V298" s="17"/>
      <c r="W298" s="17"/>
    </row>
    <row r="299" spans="1:23" ht="26.25" hidden="1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54" t="s">
        <v>4864</v>
      </c>
      <c r="N299" s="17"/>
      <c r="O299" s="17"/>
      <c r="P299" s="17"/>
      <c r="Q299" s="17"/>
      <c r="R299" s="17"/>
      <c r="S299" s="17"/>
      <c r="T299" s="17"/>
      <c r="U299" s="17"/>
      <c r="V299" s="17"/>
      <c r="W299" s="17"/>
    </row>
    <row r="300" spans="1:23" ht="26.25" hidden="1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96" t="s">
        <v>4855</v>
      </c>
      <c r="N300" s="17"/>
      <c r="O300" s="17"/>
      <c r="P300" s="17"/>
      <c r="Q300" s="17"/>
      <c r="R300" s="17"/>
      <c r="S300" s="17"/>
      <c r="T300" s="17"/>
      <c r="U300" s="17"/>
      <c r="V300" s="17"/>
      <c r="W300" s="17"/>
    </row>
    <row r="301" spans="1:23" ht="26.25" hidden="1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96" t="s">
        <v>4856</v>
      </c>
      <c r="N301" s="17"/>
      <c r="O301" s="17"/>
      <c r="P301" s="17"/>
      <c r="Q301" s="17"/>
      <c r="R301" s="17"/>
      <c r="S301" s="17"/>
      <c r="T301" s="17"/>
      <c r="U301" s="17"/>
      <c r="V301" s="17"/>
      <c r="W301" s="17"/>
    </row>
    <row r="302" spans="1:23" ht="26.25" hidden="1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54" t="s">
        <v>4876</v>
      </c>
      <c r="N302" s="17"/>
      <c r="O302" s="17"/>
      <c r="P302" s="17"/>
      <c r="Q302" s="17"/>
      <c r="R302" s="17"/>
      <c r="S302" s="17"/>
      <c r="T302" s="17"/>
      <c r="U302" s="17"/>
      <c r="V302" s="17"/>
      <c r="W302" s="17"/>
    </row>
    <row r="303" spans="1:23" ht="26.25" hidden="1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54" t="s">
        <v>4882</v>
      </c>
      <c r="N303" s="17"/>
      <c r="O303" s="17"/>
      <c r="P303" s="17"/>
      <c r="Q303" s="17"/>
      <c r="R303" s="17"/>
      <c r="S303" s="17"/>
      <c r="T303" s="17"/>
      <c r="U303" s="17"/>
      <c r="V303" s="17"/>
      <c r="W303" s="17"/>
    </row>
    <row r="304" spans="1:23" ht="26.25" hidden="1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54" t="s">
        <v>4884</v>
      </c>
      <c r="N304" s="17"/>
      <c r="O304" s="17"/>
      <c r="P304" s="17"/>
      <c r="Q304" s="17"/>
      <c r="R304" s="17"/>
      <c r="S304" s="17"/>
      <c r="T304" s="17"/>
      <c r="U304" s="17"/>
      <c r="V304" s="17"/>
      <c r="W304" s="17"/>
    </row>
    <row r="305" spans="1:23" ht="26.25" hidden="1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54" t="s">
        <v>4883</v>
      </c>
      <c r="N305" s="17"/>
      <c r="O305" s="17"/>
      <c r="P305" s="17"/>
      <c r="Q305" s="17"/>
      <c r="R305" s="17"/>
      <c r="S305" s="17"/>
      <c r="T305" s="17"/>
      <c r="U305" s="17"/>
      <c r="V305" s="17"/>
      <c r="W305" s="17"/>
    </row>
    <row r="306" spans="1:23" ht="26.25" hidden="1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54" t="s">
        <v>4892</v>
      </c>
      <c r="N306" s="17"/>
      <c r="O306" s="17"/>
      <c r="P306" s="17"/>
      <c r="Q306" s="17"/>
      <c r="R306" s="17"/>
      <c r="S306" s="17"/>
      <c r="T306" s="17"/>
      <c r="U306" s="17"/>
      <c r="V306" s="17"/>
      <c r="W306" s="17"/>
    </row>
    <row r="307" spans="1:23" s="157" customFormat="1" ht="26.25" hidden="1" customHeight="1">
      <c r="A307" s="156"/>
      <c r="B307" s="156"/>
      <c r="C307" s="156"/>
      <c r="D307" s="156"/>
      <c r="E307" s="156"/>
      <c r="F307" s="156"/>
      <c r="G307" s="156"/>
      <c r="H307" s="156"/>
      <c r="I307" s="156"/>
      <c r="J307" s="156"/>
      <c r="K307" s="156"/>
      <c r="L307" s="156"/>
      <c r="M307" s="156" t="s">
        <v>4927</v>
      </c>
      <c r="N307" s="156"/>
      <c r="O307" s="156"/>
      <c r="P307" s="156"/>
      <c r="Q307" s="156"/>
      <c r="R307" s="156"/>
      <c r="S307" s="156"/>
      <c r="T307" s="156"/>
      <c r="U307" s="156"/>
      <c r="V307" s="156"/>
      <c r="W307" s="156"/>
    </row>
    <row r="308" spans="1:23" ht="26.25" hidden="1" customHeight="1">
      <c r="A308" s="54" t="s">
        <v>5048</v>
      </c>
      <c r="B308" s="54" t="s">
        <v>5241</v>
      </c>
      <c r="C308" s="54" t="s">
        <v>5241</v>
      </c>
      <c r="D308" s="54" t="s">
        <v>5205</v>
      </c>
      <c r="E308" s="96" t="s">
        <v>4941</v>
      </c>
      <c r="F308" s="54" t="s">
        <v>4920</v>
      </c>
      <c r="G308" s="51" t="s">
        <v>5062</v>
      </c>
      <c r="H308" s="51" t="s">
        <v>5027</v>
      </c>
      <c r="I308" s="51" t="s">
        <v>5027</v>
      </c>
      <c r="J308" s="54" t="s">
        <v>4926</v>
      </c>
      <c r="K308" s="51" t="s">
        <v>5121</v>
      </c>
      <c r="L308" s="96" t="s">
        <v>4966</v>
      </c>
      <c r="M308" s="54" t="s">
        <v>4953</v>
      </c>
      <c r="N308" s="54" t="s">
        <v>4942</v>
      </c>
      <c r="O308" s="54" t="s">
        <v>5068</v>
      </c>
      <c r="P308" s="54" t="s">
        <v>5068</v>
      </c>
      <c r="Q308" s="39" t="s">
        <v>5020</v>
      </c>
      <c r="R308" s="39" t="s">
        <v>5012</v>
      </c>
      <c r="S308" s="54" t="s">
        <v>4928</v>
      </c>
      <c r="T308" s="54" t="s">
        <v>4890</v>
      </c>
      <c r="U308" s="54" t="s">
        <v>4951</v>
      </c>
      <c r="V308" s="55" t="s">
        <v>5079</v>
      </c>
      <c r="W308" s="54" t="s">
        <v>4932</v>
      </c>
    </row>
    <row r="309" spans="1:23" ht="26.25" hidden="1" customHeight="1">
      <c r="A309" s="54" t="s">
        <v>5259</v>
      </c>
      <c r="B309" s="54" t="s">
        <v>5474</v>
      </c>
      <c r="C309" s="54" t="s">
        <v>5473</v>
      </c>
      <c r="D309" s="54" t="s">
        <v>5473</v>
      </c>
      <c r="E309" s="54" t="s">
        <v>4977</v>
      </c>
      <c r="F309" s="54" t="s">
        <v>4952</v>
      </c>
      <c r="G309" s="99" t="s">
        <v>5070</v>
      </c>
      <c r="H309" s="99" t="s">
        <v>5070</v>
      </c>
      <c r="I309" s="99" t="s">
        <v>5070</v>
      </c>
      <c r="J309" s="54" t="s">
        <v>4929</v>
      </c>
      <c r="K309" s="96" t="s">
        <v>5415</v>
      </c>
      <c r="L309" s="54" t="s">
        <v>5010</v>
      </c>
      <c r="M309" s="96" t="s">
        <v>4954</v>
      </c>
      <c r="N309" s="54" t="s">
        <v>4975</v>
      </c>
      <c r="O309" s="54" t="s">
        <v>5142</v>
      </c>
      <c r="P309" s="56" t="s">
        <v>5262</v>
      </c>
      <c r="Q309" s="96" t="s">
        <v>5097</v>
      </c>
      <c r="R309" s="54" t="s">
        <v>5058</v>
      </c>
      <c r="S309" s="54" t="s">
        <v>4943</v>
      </c>
      <c r="T309" s="54" t="s">
        <v>4950</v>
      </c>
      <c r="U309" s="54" t="s">
        <v>4987</v>
      </c>
      <c r="V309" s="54" t="s">
        <v>5103</v>
      </c>
      <c r="W309" s="54" t="s">
        <v>4944</v>
      </c>
    </row>
    <row r="310" spans="1:23" ht="26.25" hidden="1" customHeight="1">
      <c r="A310" s="54" t="s">
        <v>5271</v>
      </c>
      <c r="B310" s="54" t="s">
        <v>5620</v>
      </c>
      <c r="C310" s="54" t="s">
        <v>5495</v>
      </c>
      <c r="D310" s="56" t="s">
        <v>5532</v>
      </c>
      <c r="E310" s="99" t="s">
        <v>5069</v>
      </c>
      <c r="F310" s="99" t="s">
        <v>5069</v>
      </c>
      <c r="G310" s="54" t="s">
        <v>5201</v>
      </c>
      <c r="H310" s="54" t="s">
        <v>5264</v>
      </c>
      <c r="I310" s="54" t="s">
        <v>5311</v>
      </c>
      <c r="J310" s="54" t="s">
        <v>4949</v>
      </c>
      <c r="K310" s="96" t="s">
        <v>5428</v>
      </c>
      <c r="L310" s="54" t="s">
        <v>5096</v>
      </c>
      <c r="M310" s="96" t="s">
        <v>5102</v>
      </c>
      <c r="N310" s="54" t="s">
        <v>4986</v>
      </c>
      <c r="O310" s="54" t="s">
        <v>5184</v>
      </c>
      <c r="P310" s="96" t="s">
        <v>5297</v>
      </c>
      <c r="Q310" s="96" t="s">
        <v>5160</v>
      </c>
      <c r="R310" s="54" t="s">
        <v>5061</v>
      </c>
      <c r="S310" s="54" t="s">
        <v>5099</v>
      </c>
      <c r="T310" s="54" t="s">
        <v>4965</v>
      </c>
      <c r="U310" s="54" t="s">
        <v>5041</v>
      </c>
      <c r="V310" s="54" t="s">
        <v>5119</v>
      </c>
      <c r="W310" s="54" t="s">
        <v>4955</v>
      </c>
    </row>
    <row r="311" spans="1:23" ht="26.25" hidden="1" customHeight="1">
      <c r="A311" s="54" t="s">
        <v>5272</v>
      </c>
      <c r="B311" s="56" t="s">
        <v>5586</v>
      </c>
      <c r="C311" s="56" t="s">
        <v>5586</v>
      </c>
      <c r="D311" s="54" t="s">
        <v>5569</v>
      </c>
      <c r="E311" s="54" t="s">
        <v>5222</v>
      </c>
      <c r="F311" s="54" t="s">
        <v>5190</v>
      </c>
      <c r="G311" s="54" t="s">
        <v>5231</v>
      </c>
      <c r="H311" s="55" t="s">
        <v>5283</v>
      </c>
      <c r="I311" s="54" t="s">
        <v>5314</v>
      </c>
      <c r="J311" s="96" t="s">
        <v>5077</v>
      </c>
      <c r="K311" s="172" t="s">
        <v>5691</v>
      </c>
      <c r="L311" s="56" t="s">
        <v>5131</v>
      </c>
      <c r="M311" s="96" t="s">
        <v>5159</v>
      </c>
      <c r="N311" s="96" t="s">
        <v>5011</v>
      </c>
      <c r="O311" s="54" t="s">
        <v>5233</v>
      </c>
      <c r="P311" s="54" t="s">
        <v>5324</v>
      </c>
      <c r="Q311" s="54" t="s">
        <v>5331</v>
      </c>
      <c r="R311" s="96" t="s">
        <v>5098</v>
      </c>
      <c r="S311" s="96" t="s">
        <v>5133</v>
      </c>
      <c r="T311" s="54" t="s">
        <v>4976</v>
      </c>
      <c r="U311" s="54" t="s">
        <v>5056</v>
      </c>
      <c r="V311" s="54" t="s">
        <v>5134</v>
      </c>
      <c r="W311" s="54" t="s">
        <v>4945</v>
      </c>
    </row>
    <row r="312" spans="1:23" ht="26.25" hidden="1" customHeight="1">
      <c r="A312" s="56" t="s">
        <v>5276</v>
      </c>
      <c r="B312" s="55" t="s">
        <v>5744</v>
      </c>
      <c r="C312" s="55" t="s">
        <v>5732</v>
      </c>
      <c r="D312" s="54" t="s">
        <v>5576</v>
      </c>
      <c r="E312" s="55" t="s">
        <v>5239</v>
      </c>
      <c r="F312" s="55" t="s">
        <v>5240</v>
      </c>
      <c r="G312" s="56" t="s">
        <v>5232</v>
      </c>
      <c r="H312" s="96" t="s">
        <v>5296</v>
      </c>
      <c r="I312" s="54" t="s">
        <v>5315</v>
      </c>
      <c r="J312" s="99" t="s">
        <v>5165</v>
      </c>
      <c r="K312" s="54" t="s">
        <v>5748</v>
      </c>
      <c r="L312" s="96" t="s">
        <v>5417</v>
      </c>
      <c r="M312" s="56" t="s">
        <v>5225</v>
      </c>
      <c r="N312" s="54" t="s">
        <v>5040</v>
      </c>
      <c r="O312" s="172" t="s">
        <v>5279</v>
      </c>
      <c r="P312" s="55" t="s">
        <v>5361</v>
      </c>
      <c r="Q312" s="55" t="s">
        <v>5370</v>
      </c>
      <c r="R312" s="99" t="s">
        <v>5116</v>
      </c>
      <c r="S312" s="54" t="s">
        <v>5140</v>
      </c>
      <c r="T312" s="54" t="s">
        <v>5021</v>
      </c>
      <c r="U312" s="54" t="s">
        <v>5100</v>
      </c>
      <c r="V312" s="54" t="s">
        <v>5137</v>
      </c>
      <c r="W312" s="54" t="s">
        <v>4946</v>
      </c>
    </row>
    <row r="313" spans="1:23" ht="26.25" hidden="1" customHeight="1">
      <c r="A313" s="54" t="s">
        <v>5306</v>
      </c>
      <c r="B313" s="56" t="s">
        <v>5763</v>
      </c>
      <c r="C313" s="54" t="s">
        <v>5731</v>
      </c>
      <c r="D313" s="55" t="s">
        <v>5270</v>
      </c>
      <c r="E313" s="54" t="s">
        <v>5277</v>
      </c>
      <c r="F313" s="54" t="s">
        <v>5263</v>
      </c>
      <c r="G313" s="54" t="s">
        <v>5260</v>
      </c>
      <c r="H313" s="173" t="s">
        <v>5270</v>
      </c>
      <c r="I313" s="56" t="s">
        <v>5316</v>
      </c>
      <c r="J313" s="96" t="s">
        <v>5182</v>
      </c>
      <c r="K313" s="54" t="s">
        <v>5781</v>
      </c>
      <c r="L313" s="54" t="s">
        <v>5429</v>
      </c>
      <c r="M313" s="96" t="s">
        <v>5307</v>
      </c>
      <c r="N313" s="96" t="s">
        <v>5078</v>
      </c>
      <c r="O313" s="148" t="s">
        <v>5329</v>
      </c>
      <c r="P313" s="54" t="s">
        <v>5369</v>
      </c>
      <c r="Q313" s="54" t="s">
        <v>5362</v>
      </c>
      <c r="R313" s="96" t="s">
        <v>5217</v>
      </c>
      <c r="S313" s="54" t="s">
        <v>5152</v>
      </c>
      <c r="T313" s="54" t="s">
        <v>5039</v>
      </c>
      <c r="U313" s="96" t="s">
        <v>5118</v>
      </c>
      <c r="V313" s="54" t="s">
        <v>5138</v>
      </c>
      <c r="W313" s="54" t="s">
        <v>4978</v>
      </c>
    </row>
    <row r="314" spans="1:23" ht="26.25" hidden="1" customHeight="1">
      <c r="A314" s="54" t="s">
        <v>5310</v>
      </c>
      <c r="B314" s="55" t="s">
        <v>5777</v>
      </c>
      <c r="C314" s="54" t="s">
        <v>5745</v>
      </c>
      <c r="D314" s="55" t="s">
        <v>5593</v>
      </c>
      <c r="E314" s="54" t="s">
        <v>5385</v>
      </c>
      <c r="F314" s="54" t="s">
        <v>5380</v>
      </c>
      <c r="G314" s="99" t="s">
        <v>5285</v>
      </c>
      <c r="H314" s="54" t="s">
        <v>5353</v>
      </c>
      <c r="I314" s="54" t="s">
        <v>5340</v>
      </c>
      <c r="J314" s="54" t="s">
        <v>5202</v>
      </c>
      <c r="K314" s="54" t="s">
        <v>5821</v>
      </c>
      <c r="L314" s="54" t="s">
        <v>5449</v>
      </c>
      <c r="M314" s="56" t="s">
        <v>5375</v>
      </c>
      <c r="N314" s="96" t="s">
        <v>5115</v>
      </c>
      <c r="O314" s="54" t="s">
        <v>5341</v>
      </c>
      <c r="P314" s="54" t="s">
        <v>5383</v>
      </c>
      <c r="Q314" s="54" t="s">
        <v>5377</v>
      </c>
      <c r="R314" s="54" t="s">
        <v>5371</v>
      </c>
      <c r="S314" s="55" t="s">
        <v>5185</v>
      </c>
      <c r="T314" s="54" t="s">
        <v>5117</v>
      </c>
      <c r="U314" s="54" t="s">
        <v>5123</v>
      </c>
      <c r="V314" s="54" t="s">
        <v>5141</v>
      </c>
      <c r="W314" s="54" t="s">
        <v>4979</v>
      </c>
    </row>
    <row r="315" spans="1:23" ht="26.25" hidden="1" customHeight="1">
      <c r="A315" s="56" t="s">
        <v>5386</v>
      </c>
      <c r="B315" s="56" t="s">
        <v>5844</v>
      </c>
      <c r="C315" s="54" t="s">
        <v>5761</v>
      </c>
      <c r="D315" s="54" t="s">
        <v>5601</v>
      </c>
      <c r="E315" s="55" t="s">
        <v>5424</v>
      </c>
      <c r="F315" s="55" t="s">
        <v>5395</v>
      </c>
      <c r="G315" s="99" t="s">
        <v>5284</v>
      </c>
      <c r="H315" s="54" t="s">
        <v>5326</v>
      </c>
      <c r="I315" s="99" t="s">
        <v>5354</v>
      </c>
      <c r="J315" s="54" t="s">
        <v>5223</v>
      </c>
      <c r="K315" s="172" t="s">
        <v>5903</v>
      </c>
      <c r="L315" s="54" t="s">
        <v>5565</v>
      </c>
      <c r="M315" s="96" t="s">
        <v>5426</v>
      </c>
      <c r="N315" s="96" t="s">
        <v>5132</v>
      </c>
      <c r="O315" s="99" t="s">
        <v>5330</v>
      </c>
      <c r="P315" s="54" t="s">
        <v>5537</v>
      </c>
      <c r="Q315" s="54" t="s">
        <v>5536</v>
      </c>
      <c r="R315" s="56" t="s">
        <v>5396</v>
      </c>
      <c r="S315" s="54" t="s">
        <v>5345</v>
      </c>
      <c r="T315" s="54" t="s">
        <v>5153</v>
      </c>
      <c r="U315" s="54" t="s">
        <v>5230</v>
      </c>
      <c r="V315" s="54" t="s">
        <v>5154</v>
      </c>
      <c r="W315" s="54" t="s">
        <v>4989</v>
      </c>
    </row>
    <row r="316" spans="1:23" ht="26.25" hidden="1" customHeight="1">
      <c r="A316" s="55" t="s">
        <v>5438</v>
      </c>
      <c r="B316" s="56" t="s">
        <v>5808</v>
      </c>
      <c r="C316" s="54" t="s">
        <v>5753</v>
      </c>
      <c r="D316" s="54" t="s">
        <v>5600</v>
      </c>
      <c r="E316" s="54" t="s">
        <v>5439</v>
      </c>
      <c r="F316" s="54" t="s">
        <v>5491</v>
      </c>
      <c r="G316" s="54" t="s">
        <v>5281</v>
      </c>
      <c r="H316" s="54" t="s">
        <v>5368</v>
      </c>
      <c r="I316" s="54" t="s">
        <v>5359</v>
      </c>
      <c r="J316" s="54" t="s">
        <v>5229</v>
      </c>
      <c r="K316" s="96" t="s">
        <v>6096</v>
      </c>
      <c r="L316" s="54" t="s">
        <v>5614</v>
      </c>
      <c r="M316" s="172" t="s">
        <v>5470</v>
      </c>
      <c r="N316" s="96" t="s">
        <v>5155</v>
      </c>
      <c r="O316" s="54" t="s">
        <v>5431</v>
      </c>
      <c r="P316" s="96" t="s">
        <v>5634</v>
      </c>
      <c r="Q316" s="54" t="s">
        <v>5704</v>
      </c>
      <c r="R316" s="56" t="s">
        <v>5535</v>
      </c>
      <c r="S316" s="56" t="s">
        <v>5347</v>
      </c>
      <c r="T316" s="54" t="s">
        <v>5167</v>
      </c>
      <c r="U316" s="99" t="s">
        <v>5234</v>
      </c>
      <c r="V316" s="55" t="s">
        <v>5191</v>
      </c>
      <c r="W316" s="55" t="s">
        <v>4947</v>
      </c>
    </row>
    <row r="317" spans="1:23" ht="26.25" hidden="1" customHeight="1">
      <c r="A317" s="56" t="s">
        <v>5510</v>
      </c>
      <c r="B317" s="56" t="s">
        <v>5926</v>
      </c>
      <c r="C317" s="56" t="s">
        <v>5885</v>
      </c>
      <c r="D317" s="56" t="s">
        <v>5615</v>
      </c>
      <c r="E317" s="54" t="s">
        <v>5448</v>
      </c>
      <c r="F317" s="56" t="s">
        <v>5511</v>
      </c>
      <c r="G317" s="54" t="s">
        <v>5282</v>
      </c>
      <c r="H317" s="54" t="s">
        <v>5358</v>
      </c>
      <c r="I317" s="96" t="s">
        <v>5360</v>
      </c>
      <c r="J317" s="54" t="s">
        <v>5252</v>
      </c>
      <c r="K317" s="54" t="s">
        <v>6148</v>
      </c>
      <c r="L317" s="54" t="s">
        <v>5619</v>
      </c>
      <c r="M317" s="96" t="s">
        <v>5492</v>
      </c>
      <c r="N317" s="96" t="s">
        <v>5166</v>
      </c>
      <c r="O317" s="56" t="s">
        <v>5460</v>
      </c>
      <c r="P317" s="56" t="s">
        <v>5624</v>
      </c>
      <c r="Q317" s="96" t="s">
        <v>5750</v>
      </c>
      <c r="R317" s="96" t="s">
        <v>5579</v>
      </c>
      <c r="S317" s="54" t="s">
        <v>5348</v>
      </c>
      <c r="T317" s="54" t="s">
        <v>5331</v>
      </c>
      <c r="U317" s="54" t="s">
        <v>5280</v>
      </c>
      <c r="V317" s="55" t="s">
        <v>5192</v>
      </c>
      <c r="W317" s="54" t="s">
        <v>4990</v>
      </c>
    </row>
    <row r="318" spans="1:23" ht="26.25" hidden="1" customHeight="1">
      <c r="A318" s="54" t="s">
        <v>5621</v>
      </c>
      <c r="B318" s="155" t="s">
        <v>5693</v>
      </c>
      <c r="C318" s="152" t="s">
        <v>5693</v>
      </c>
      <c r="D318" s="54" t="s">
        <v>5602</v>
      </c>
      <c r="E318" s="54" t="s">
        <v>5468</v>
      </c>
      <c r="F318" s="54" t="s">
        <v>5518</v>
      </c>
      <c r="G318" s="54" t="s">
        <v>5286</v>
      </c>
      <c r="H318" s="96" t="s">
        <v>5570</v>
      </c>
      <c r="I318" s="54" t="s">
        <v>5363</v>
      </c>
      <c r="J318" s="96" t="s">
        <v>5253</v>
      </c>
      <c r="K318" s="96" t="s">
        <v>6172</v>
      </c>
      <c r="L318" s="54" t="s">
        <v>5622</v>
      </c>
      <c r="M318" s="96" t="s">
        <v>5513</v>
      </c>
      <c r="N318" s="54" t="s">
        <v>5183</v>
      </c>
      <c r="O318" s="54" t="s">
        <v>5461</v>
      </c>
      <c r="P318" s="54" t="s">
        <v>5655</v>
      </c>
      <c r="Q318" s="96" t="s">
        <v>5823</v>
      </c>
      <c r="R318" s="96" t="s">
        <v>5595</v>
      </c>
      <c r="S318" s="56" t="s">
        <v>5397</v>
      </c>
      <c r="T318" s="56" t="s">
        <v>5450</v>
      </c>
      <c r="U318" s="54" t="s">
        <v>5292</v>
      </c>
      <c r="V318" s="54" t="s">
        <v>5204</v>
      </c>
      <c r="W318" s="54" t="s">
        <v>4991</v>
      </c>
    </row>
    <row r="319" spans="1:23" ht="26.25" hidden="1" customHeight="1">
      <c r="A319" s="54" t="s">
        <v>5654</v>
      </c>
      <c r="B319" s="152" t="s">
        <v>5952</v>
      </c>
      <c r="C319" s="54" t="s">
        <v>5892</v>
      </c>
      <c r="D319" s="56" t="s">
        <v>5845</v>
      </c>
      <c r="E319" s="54" t="s">
        <v>5490</v>
      </c>
      <c r="F319" s="54" t="s">
        <v>5531</v>
      </c>
      <c r="G319" s="54" t="s">
        <v>5291</v>
      </c>
      <c r="H319" s="54" t="s">
        <v>5989</v>
      </c>
      <c r="I319" s="54" t="s">
        <v>5364</v>
      </c>
      <c r="J319" s="54" t="s">
        <v>5278</v>
      </c>
      <c r="K319" s="99" t="s">
        <v>6437</v>
      </c>
      <c r="L319" s="96" t="s">
        <v>5632</v>
      </c>
      <c r="M319" s="96" t="s">
        <v>5533</v>
      </c>
      <c r="N319" s="96" t="s">
        <v>5218</v>
      </c>
      <c r="O319" s="96" t="s">
        <v>5475</v>
      </c>
      <c r="P319" s="56" t="s">
        <v>5656</v>
      </c>
      <c r="Q319" s="96" t="s">
        <v>5840</v>
      </c>
      <c r="R319" s="56" t="s">
        <v>5906</v>
      </c>
      <c r="S319" s="56" t="s">
        <v>5639</v>
      </c>
      <c r="T319" s="56" t="s">
        <v>5689</v>
      </c>
      <c r="U319" s="152" t="s">
        <v>5270</v>
      </c>
      <c r="V319" s="54" t="s">
        <v>5216</v>
      </c>
      <c r="W319" s="54" t="s">
        <v>5031</v>
      </c>
    </row>
    <row r="320" spans="1:23" ht="26.25" hidden="1" customHeight="1">
      <c r="A320" s="54" t="s">
        <v>5701</v>
      </c>
      <c r="B320" s="101" t="s">
        <v>6204</v>
      </c>
      <c r="C320" s="54" t="s">
        <v>5893</v>
      </c>
      <c r="D320" s="152" t="s">
        <v>5693</v>
      </c>
      <c r="E320" s="54" t="s">
        <v>5500</v>
      </c>
      <c r="F320" s="54" t="s">
        <v>5540</v>
      </c>
      <c r="G320" s="152" t="s">
        <v>5289</v>
      </c>
      <c r="H320" s="54" t="s">
        <v>6158</v>
      </c>
      <c r="I320" s="54" t="s">
        <v>5414</v>
      </c>
      <c r="J320" s="54" t="s">
        <v>5430</v>
      </c>
      <c r="K320" s="96"/>
      <c r="L320" s="54" t="s">
        <v>5640</v>
      </c>
      <c r="M320" s="101" t="s">
        <v>5566</v>
      </c>
      <c r="N320" s="96" t="s">
        <v>5852</v>
      </c>
      <c r="O320" s="54" t="s">
        <v>5476</v>
      </c>
      <c r="P320" s="54" t="s">
        <v>5736</v>
      </c>
      <c r="Q320" s="56" t="s">
        <v>5808</v>
      </c>
      <c r="R320" s="54" t="s">
        <v>5956</v>
      </c>
      <c r="S320" s="56" t="s">
        <v>5705</v>
      </c>
      <c r="T320" s="54" t="s">
        <v>5706</v>
      </c>
      <c r="U320" s="54" t="s">
        <v>5309</v>
      </c>
      <c r="V320" s="54" t="s">
        <v>5243</v>
      </c>
      <c r="W320" s="54" t="s">
        <v>5022</v>
      </c>
    </row>
    <row r="321" spans="1:23" ht="26.25" hidden="1" customHeight="1">
      <c r="A321" s="54" t="s">
        <v>5718</v>
      </c>
      <c r="B321" s="54" t="s">
        <v>5600</v>
      </c>
      <c r="C321" s="99" t="s">
        <v>5897</v>
      </c>
      <c r="D321" s="54" t="s">
        <v>5898</v>
      </c>
      <c r="E321" s="54" t="s">
        <v>5516</v>
      </c>
      <c r="F321" s="56" t="s">
        <v>5582</v>
      </c>
      <c r="G321" s="54" t="s">
        <v>5295</v>
      </c>
      <c r="H321" s="56" t="s">
        <v>6260</v>
      </c>
      <c r="I321" s="54" t="s">
        <v>5425</v>
      </c>
      <c r="J321" s="172" t="s">
        <v>5690</v>
      </c>
      <c r="K321" s="17"/>
      <c r="L321" s="59" t="s">
        <v>5644</v>
      </c>
      <c r="M321" s="54" t="s">
        <v>5594</v>
      </c>
      <c r="N321" s="54" t="s">
        <v>5904</v>
      </c>
      <c r="O321" s="96" t="s">
        <v>6258</v>
      </c>
      <c r="P321" s="54" t="s">
        <v>5782</v>
      </c>
      <c r="Q321" s="56" t="s">
        <v>5954</v>
      </c>
      <c r="R321" s="54" t="s">
        <v>5957</v>
      </c>
      <c r="S321" s="96" t="s">
        <v>5730</v>
      </c>
      <c r="T321" s="96" t="s">
        <v>5720</v>
      </c>
      <c r="U321" s="54" t="s">
        <v>5322</v>
      </c>
      <c r="V321" s="54" t="s">
        <v>5261</v>
      </c>
      <c r="W321" s="55" t="s">
        <v>5029</v>
      </c>
    </row>
    <row r="322" spans="1:23" ht="26.25" hidden="1" customHeight="1">
      <c r="A322" s="54" t="s">
        <v>5762</v>
      </c>
      <c r="B322" s="56" t="s">
        <v>6289</v>
      </c>
      <c r="C322" s="181" t="s">
        <v>5961</v>
      </c>
      <c r="D322" s="56" t="s">
        <v>5921</v>
      </c>
      <c r="E322" s="54" t="s">
        <v>5539</v>
      </c>
      <c r="F322" s="56" t="s">
        <v>5616</v>
      </c>
      <c r="G322" s="54" t="s">
        <v>5290</v>
      </c>
      <c r="H322" s="54" t="s">
        <v>6415</v>
      </c>
      <c r="I322" s="99" t="s">
        <v>5440</v>
      </c>
      <c r="J322" s="56" t="s">
        <v>5727</v>
      </c>
      <c r="K322" s="17"/>
      <c r="L322" s="172" t="s">
        <v>5641</v>
      </c>
      <c r="M322" s="148" t="s">
        <v>5633</v>
      </c>
      <c r="N322" s="96" t="s">
        <v>5936</v>
      </c>
      <c r="O322" s="99" t="s">
        <v>6270</v>
      </c>
      <c r="P322" s="54" t="s">
        <v>5805</v>
      </c>
      <c r="Q322" s="96" t="s">
        <v>6005</v>
      </c>
      <c r="R322" s="96" t="s">
        <v>5958</v>
      </c>
      <c r="S322" s="54" t="s">
        <v>5801</v>
      </c>
      <c r="T322" s="54" t="s">
        <v>5783</v>
      </c>
      <c r="U322" s="56" t="s">
        <v>5346</v>
      </c>
      <c r="V322" s="54" t="s">
        <v>5298</v>
      </c>
      <c r="W322" s="54" t="s">
        <v>5057</v>
      </c>
    </row>
    <row r="323" spans="1:23" ht="26.25" hidden="1" customHeight="1">
      <c r="A323" s="55" t="s">
        <v>5799</v>
      </c>
      <c r="B323" s="155" t="s">
        <v>5693</v>
      </c>
      <c r="C323" s="101" t="s">
        <v>6268</v>
      </c>
      <c r="D323" s="55" t="s">
        <v>5913</v>
      </c>
      <c r="E323" s="56" t="s">
        <v>5577</v>
      </c>
      <c r="F323" s="54" t="s">
        <v>5636</v>
      </c>
      <c r="G323" s="54" t="s">
        <v>5382</v>
      </c>
      <c r="H323" s="96"/>
      <c r="I323" s="56" t="s">
        <v>5445</v>
      </c>
      <c r="J323" s="54" t="s">
        <v>5747</v>
      </c>
      <c r="K323" s="17"/>
      <c r="L323" s="172" t="s">
        <v>5658</v>
      </c>
      <c r="M323" s="54" t="s">
        <v>5659</v>
      </c>
      <c r="N323" s="96" t="s">
        <v>5996</v>
      </c>
      <c r="O323" s="99" t="s">
        <v>6275</v>
      </c>
      <c r="P323" s="54" t="s">
        <v>5822</v>
      </c>
      <c r="Q323" s="54" t="s">
        <v>6022</v>
      </c>
      <c r="R323" s="96" t="s">
        <v>5984</v>
      </c>
      <c r="S323" s="56" t="s">
        <v>5808</v>
      </c>
      <c r="T323" s="54" t="s">
        <v>5839</v>
      </c>
      <c r="U323" s="54" t="s">
        <v>5355</v>
      </c>
      <c r="V323" s="56" t="s">
        <v>5308</v>
      </c>
      <c r="W323" s="54" t="s">
        <v>5080</v>
      </c>
    </row>
    <row r="324" spans="1:23" ht="26.25" hidden="1" customHeight="1">
      <c r="A324" s="55" t="s">
        <v>5793</v>
      </c>
      <c r="B324" s="96" t="s">
        <v>6387</v>
      </c>
      <c r="C324" s="96" t="s">
        <v>6400</v>
      </c>
      <c r="D324" s="54" t="s">
        <v>5933</v>
      </c>
      <c r="E324" s="54" t="s">
        <v>5651</v>
      </c>
      <c r="F324" s="54" t="s">
        <v>5637</v>
      </c>
      <c r="G324" s="55" t="s">
        <v>5381</v>
      </c>
      <c r="H324" s="17"/>
      <c r="I324" s="56" t="s">
        <v>5446</v>
      </c>
      <c r="J324" s="54" t="s">
        <v>5780</v>
      </c>
      <c r="K324" s="17"/>
      <c r="L324" s="172" t="s">
        <v>5703</v>
      </c>
      <c r="M324" s="54" t="s">
        <v>5688</v>
      </c>
      <c r="N324" s="96" t="s">
        <v>5998</v>
      </c>
      <c r="O324" s="99" t="s">
        <v>6301</v>
      </c>
      <c r="P324" s="56" t="s">
        <v>5808</v>
      </c>
      <c r="Q324" s="54" t="s">
        <v>6103</v>
      </c>
      <c r="R324" s="96" t="s">
        <v>6080</v>
      </c>
      <c r="S324" s="56" t="s">
        <v>5917</v>
      </c>
      <c r="T324" s="54" t="s">
        <v>5891</v>
      </c>
      <c r="U324" s="56" t="s">
        <v>5408</v>
      </c>
      <c r="V324" s="56" t="s">
        <v>5323</v>
      </c>
      <c r="W324" s="54" t="s">
        <v>5082</v>
      </c>
    </row>
    <row r="325" spans="1:23" ht="26.25" hidden="1" customHeight="1">
      <c r="A325" s="54" t="s">
        <v>5818</v>
      </c>
      <c r="B325" s="96"/>
      <c r="C325" s="96"/>
      <c r="D325" s="54" t="s">
        <v>5938</v>
      </c>
      <c r="E325" s="56" t="s">
        <v>5652</v>
      </c>
      <c r="F325" s="54" t="s">
        <v>5638</v>
      </c>
      <c r="G325" s="54" t="s">
        <v>5407</v>
      </c>
      <c r="H325" s="20"/>
      <c r="I325" s="56" t="s">
        <v>5447</v>
      </c>
      <c r="J325" s="54" t="s">
        <v>5820</v>
      </c>
      <c r="K325" s="17"/>
      <c r="L325" s="96" t="s">
        <v>5749</v>
      </c>
      <c r="M325" s="96" t="s">
        <v>5737</v>
      </c>
      <c r="N325" s="96" t="s">
        <v>6061</v>
      </c>
      <c r="O325" s="54" t="s">
        <v>6383</v>
      </c>
      <c r="P325" s="56" t="s">
        <v>5954</v>
      </c>
      <c r="Q325" s="54" t="s">
        <v>6114</v>
      </c>
      <c r="R325" s="54" t="s">
        <v>6097</v>
      </c>
      <c r="S325" s="96" t="s">
        <v>5962</v>
      </c>
      <c r="T325" s="96" t="s">
        <v>5987</v>
      </c>
      <c r="U325" s="54" t="s">
        <v>5471</v>
      </c>
      <c r="V325" s="99" t="s">
        <v>5332</v>
      </c>
      <c r="W325" s="54" t="s">
        <v>5101</v>
      </c>
    </row>
    <row r="326" spans="1:23" ht="26.25" hidden="1" customHeight="1">
      <c r="A326" s="178" t="s">
        <v>5807</v>
      </c>
      <c r="B326" s="17"/>
      <c r="C326" s="17"/>
      <c r="D326" s="96" t="s">
        <v>5967</v>
      </c>
      <c r="E326" s="54" t="s">
        <v>5686</v>
      </c>
      <c r="F326" s="54" t="s">
        <v>5642</v>
      </c>
      <c r="G326" s="54" t="s">
        <v>5406</v>
      </c>
      <c r="H326" s="17"/>
      <c r="I326" s="54" t="s">
        <v>5469</v>
      </c>
      <c r="J326" s="172" t="s">
        <v>5902</v>
      </c>
      <c r="K326" s="17"/>
      <c r="L326" s="96" t="s">
        <v>5765</v>
      </c>
      <c r="M326" s="56" t="s">
        <v>5754</v>
      </c>
      <c r="N326" s="96" t="s">
        <v>6025</v>
      </c>
      <c r="O326" s="56" t="s">
        <v>6395</v>
      </c>
      <c r="P326" s="56" t="s">
        <v>5827</v>
      </c>
      <c r="Q326" s="56" t="s">
        <v>6139</v>
      </c>
      <c r="R326" s="96" t="s">
        <v>6115</v>
      </c>
      <c r="S326" s="56" t="s">
        <v>5827</v>
      </c>
      <c r="T326" s="54" t="s">
        <v>6008</v>
      </c>
      <c r="U326" s="96" t="s">
        <v>5493</v>
      </c>
      <c r="V326" s="56" t="s">
        <v>5390</v>
      </c>
      <c r="W326" s="54" t="s">
        <v>5120</v>
      </c>
    </row>
    <row r="327" spans="1:23" ht="26.25" hidden="1" customHeight="1">
      <c r="A327" s="55" t="s">
        <v>5843</v>
      </c>
      <c r="B327" s="17"/>
      <c r="C327" s="17"/>
      <c r="D327" s="54" t="s">
        <v>5982</v>
      </c>
      <c r="E327" s="54" t="s">
        <v>5702</v>
      </c>
      <c r="F327" s="56" t="s">
        <v>5650</v>
      </c>
      <c r="G327" s="96" t="s">
        <v>5570</v>
      </c>
      <c r="H327" s="17"/>
      <c r="I327" s="96" t="s">
        <v>5481</v>
      </c>
      <c r="J327" s="96" t="s">
        <v>5934</v>
      </c>
      <c r="K327" s="17"/>
      <c r="L327" s="96" t="s">
        <v>5764</v>
      </c>
      <c r="M327" s="96" t="s">
        <v>5766</v>
      </c>
      <c r="N327" s="96" t="s">
        <v>6070</v>
      </c>
      <c r="O327" s="54" t="s">
        <v>6419</v>
      </c>
      <c r="P327" s="180" t="s">
        <v>6255</v>
      </c>
      <c r="Q327" s="54" t="s">
        <v>6173</v>
      </c>
      <c r="R327" s="54" t="s">
        <v>6357</v>
      </c>
      <c r="S327" s="54" t="s">
        <v>6063</v>
      </c>
      <c r="T327" s="54" t="s">
        <v>6018</v>
      </c>
      <c r="U327" s="96" t="s">
        <v>5520</v>
      </c>
      <c r="V327" s="54" t="s">
        <v>5427</v>
      </c>
      <c r="W327" s="54" t="s">
        <v>5168</v>
      </c>
    </row>
    <row r="328" spans="1:23" ht="26.25" hidden="1" customHeight="1">
      <c r="A328" s="56" t="s">
        <v>5959</v>
      </c>
      <c r="B328" s="17"/>
      <c r="C328" s="17"/>
      <c r="D328" s="54" t="s">
        <v>6009</v>
      </c>
      <c r="E328" s="172" t="s">
        <v>5707</v>
      </c>
      <c r="F328" s="54" t="s">
        <v>5657</v>
      </c>
      <c r="G328" s="54" t="s">
        <v>5809</v>
      </c>
      <c r="H328" s="17"/>
      <c r="I328" s="96" t="s">
        <v>5503</v>
      </c>
      <c r="J328" s="96" t="s">
        <v>6086</v>
      </c>
      <c r="K328" s="17"/>
      <c r="L328" s="96" t="s">
        <v>5784</v>
      </c>
      <c r="M328" s="96" t="s">
        <v>5828</v>
      </c>
      <c r="N328" s="101" t="s">
        <v>6218</v>
      </c>
      <c r="O328" s="189" t="s">
        <v>6457</v>
      </c>
      <c r="P328" s="54" t="s">
        <v>6304</v>
      </c>
      <c r="Q328" s="155" t="s">
        <v>5270</v>
      </c>
      <c r="R328" s="56" t="s">
        <v>6396</v>
      </c>
      <c r="S328" s="54" t="s">
        <v>6162</v>
      </c>
      <c r="T328" s="54" t="s">
        <v>6019</v>
      </c>
      <c r="U328" s="101" t="s">
        <v>5567</v>
      </c>
      <c r="V328" s="56" t="s">
        <v>5504</v>
      </c>
      <c r="W328" s="55" t="s">
        <v>5384</v>
      </c>
    </row>
    <row r="329" spans="1:23" ht="26.25" hidden="1" customHeight="1">
      <c r="A329" s="96" t="s">
        <v>5981</v>
      </c>
      <c r="B329" s="17"/>
      <c r="C329" s="17"/>
      <c r="D329" s="96" t="s">
        <v>6068</v>
      </c>
      <c r="E329" s="54" t="s">
        <v>5719</v>
      </c>
      <c r="F329" s="54" t="s">
        <v>5746</v>
      </c>
      <c r="G329" s="56" t="s">
        <v>5861</v>
      </c>
      <c r="H329" s="20"/>
      <c r="I329" s="96" t="s">
        <v>5512</v>
      </c>
      <c r="J329" s="54" t="s">
        <v>6113</v>
      </c>
      <c r="K329" s="17"/>
      <c r="L329" s="96" t="s">
        <v>5785</v>
      </c>
      <c r="M329" s="96" t="s">
        <v>5851</v>
      </c>
      <c r="N329" s="54" t="s">
        <v>6263</v>
      </c>
      <c r="O329" s="96" t="s">
        <v>6436</v>
      </c>
      <c r="P329" s="152" t="s">
        <v>5270</v>
      </c>
      <c r="Q329" s="54" t="s">
        <v>6177</v>
      </c>
      <c r="R329" s="54" t="s">
        <v>6477</v>
      </c>
      <c r="S329" s="54" t="s">
        <v>6318</v>
      </c>
      <c r="T329" s="54" t="s">
        <v>6020</v>
      </c>
      <c r="U329" s="54" t="s">
        <v>5580</v>
      </c>
      <c r="V329" s="54" t="s">
        <v>5505</v>
      </c>
      <c r="W329" s="54" t="s">
        <v>5404</v>
      </c>
    </row>
    <row r="330" spans="1:23" ht="26.25" hidden="1" customHeight="1">
      <c r="A330" s="54" t="s">
        <v>6058</v>
      </c>
      <c r="B330" s="17"/>
      <c r="C330" s="17"/>
      <c r="D330" s="184" t="s">
        <v>6583</v>
      </c>
      <c r="E330" s="54" t="s">
        <v>5729</v>
      </c>
      <c r="F330" s="56" t="s">
        <v>5802</v>
      </c>
      <c r="G330" s="54" t="s">
        <v>5922</v>
      </c>
      <c r="H330" s="17"/>
      <c r="I330" s="54" t="s">
        <v>5519</v>
      </c>
      <c r="J330" s="54" t="s">
        <v>6159</v>
      </c>
      <c r="K330" s="20"/>
      <c r="L330" s="96" t="s">
        <v>5800</v>
      </c>
      <c r="M330" s="99" t="s">
        <v>5853</v>
      </c>
      <c r="N330" s="54" t="s">
        <v>6269</v>
      </c>
      <c r="O330" s="96" t="s">
        <v>6468</v>
      </c>
      <c r="P330" s="56" t="s">
        <v>6325</v>
      </c>
      <c r="Q330" s="54" t="s">
        <v>6178</v>
      </c>
      <c r="R330" s="54" t="s">
        <v>6535</v>
      </c>
      <c r="S330" s="54" t="s">
        <v>6342</v>
      </c>
      <c r="T330" s="54" t="s">
        <v>6021</v>
      </c>
      <c r="U330" s="54" t="s">
        <v>5617</v>
      </c>
      <c r="V330" s="96" t="s">
        <v>5514</v>
      </c>
      <c r="W330" s="54" t="s">
        <v>5441</v>
      </c>
    </row>
    <row r="331" spans="1:23" ht="26.25" hidden="1" customHeight="1">
      <c r="A331" s="177" t="s">
        <v>5600</v>
      </c>
      <c r="B331" s="47"/>
      <c r="C331" s="17"/>
      <c r="D331" s="148"/>
      <c r="E331" s="54" t="s">
        <v>5760</v>
      </c>
      <c r="F331" s="54" t="s">
        <v>5803</v>
      </c>
      <c r="G331" s="54" t="s">
        <v>5988</v>
      </c>
      <c r="H331" s="17"/>
      <c r="I331" s="54" t="s">
        <v>5578</v>
      </c>
      <c r="J331" s="54" t="s">
        <v>6171</v>
      </c>
      <c r="K331" s="17"/>
      <c r="L331" s="96" t="s">
        <v>5841</v>
      </c>
      <c r="M331" s="96" t="s">
        <v>5876</v>
      </c>
      <c r="N331" s="56" t="s">
        <v>6291</v>
      </c>
      <c r="O331" s="96" t="s">
        <v>6484</v>
      </c>
      <c r="P331" s="55" t="s">
        <v>6356</v>
      </c>
      <c r="Q331" s="55" t="s">
        <v>6227</v>
      </c>
      <c r="R331" s="54" t="s">
        <v>6574</v>
      </c>
      <c r="S331" s="54" t="s">
        <v>6343</v>
      </c>
      <c r="T331" s="55" t="s">
        <v>6062</v>
      </c>
      <c r="U331" s="56" t="s">
        <v>5906</v>
      </c>
      <c r="V331" s="96" t="s">
        <v>5534</v>
      </c>
      <c r="W331" s="54" t="s">
        <v>5442</v>
      </c>
    </row>
    <row r="332" spans="1:23" ht="26.25" hidden="1" customHeight="1">
      <c r="A332" s="54" t="s">
        <v>6134</v>
      </c>
      <c r="B332" s="47"/>
      <c r="C332" s="17"/>
      <c r="D332" s="47"/>
      <c r="E332" s="54" t="s">
        <v>5862</v>
      </c>
      <c r="F332" s="54" t="s">
        <v>5804</v>
      </c>
      <c r="G332" s="54" t="s">
        <v>6157</v>
      </c>
      <c r="H332" s="17"/>
      <c r="I332" s="54" t="s">
        <v>5635</v>
      </c>
      <c r="J332" s="99" t="s">
        <v>6261</v>
      </c>
      <c r="K332" s="17"/>
      <c r="L332" s="56" t="s">
        <v>5825</v>
      </c>
      <c r="M332" s="96" t="s">
        <v>5887</v>
      </c>
      <c r="N332" s="96" t="s">
        <v>6302</v>
      </c>
      <c r="O332" s="54" t="s">
        <v>6487</v>
      </c>
      <c r="P332" s="56" t="s">
        <v>6442</v>
      </c>
      <c r="Q332" s="54" t="s">
        <v>6243</v>
      </c>
      <c r="R332" s="155" t="s">
        <v>6662</v>
      </c>
      <c r="S332" s="55" t="s">
        <v>6384</v>
      </c>
      <c r="T332" s="55" t="s">
        <v>6064</v>
      </c>
      <c r="U332" s="96" t="s">
        <v>5940</v>
      </c>
      <c r="V332" s="54" t="s">
        <v>5571</v>
      </c>
      <c r="W332" s="54" t="s">
        <v>5451</v>
      </c>
    </row>
    <row r="333" spans="1:23" ht="26.25" hidden="1" customHeight="1">
      <c r="A333" s="56" t="s">
        <v>6207</v>
      </c>
      <c r="B333" s="47"/>
      <c r="C333" s="17"/>
      <c r="D333" s="47"/>
      <c r="E333" s="96" t="s">
        <v>5886</v>
      </c>
      <c r="F333" s="55" t="s">
        <v>5819</v>
      </c>
      <c r="G333" s="54" t="s">
        <v>6259</v>
      </c>
      <c r="H333" s="17"/>
      <c r="I333" s="54" t="s">
        <v>5687</v>
      </c>
      <c r="J333" s="99" t="s">
        <v>6417</v>
      </c>
      <c r="K333" s="17"/>
      <c r="L333" s="96" t="s">
        <v>5850</v>
      </c>
      <c r="M333" s="96" t="s">
        <v>5900</v>
      </c>
      <c r="N333" s="54" t="s">
        <v>6303</v>
      </c>
      <c r="O333" s="96" t="s">
        <v>6508</v>
      </c>
      <c r="P333" s="172" t="s">
        <v>6505</v>
      </c>
      <c r="Q333" s="54" t="s">
        <v>6292</v>
      </c>
      <c r="R333" s="96" t="s">
        <v>6690</v>
      </c>
      <c r="S333" s="54" t="s">
        <v>6435</v>
      </c>
      <c r="T333" s="55" t="s">
        <v>6066</v>
      </c>
      <c r="U333" s="54" t="s">
        <v>5992</v>
      </c>
      <c r="V333" s="56" t="s">
        <v>5916</v>
      </c>
      <c r="W333" s="54" t="s">
        <v>5472</v>
      </c>
    </row>
    <row r="334" spans="1:23" ht="26.25" hidden="1" customHeight="1">
      <c r="A334" s="55" t="s">
        <v>6300</v>
      </c>
      <c r="B334" s="47"/>
      <c r="C334" s="17"/>
      <c r="D334" s="47"/>
      <c r="E334" s="96" t="s">
        <v>5899</v>
      </c>
      <c r="F334" s="54" t="s">
        <v>5842</v>
      </c>
      <c r="G334" s="55" t="s">
        <v>6306</v>
      </c>
      <c r="H334" s="17"/>
      <c r="I334" s="54" t="s">
        <v>5973</v>
      </c>
      <c r="J334" s="96"/>
      <c r="K334" s="17"/>
      <c r="L334" s="54" t="s">
        <v>5859</v>
      </c>
      <c r="M334" s="96" t="s">
        <v>5935</v>
      </c>
      <c r="N334" s="55" t="s">
        <v>6340</v>
      </c>
      <c r="O334" s="54" t="s">
        <v>6509</v>
      </c>
      <c r="P334" s="172" t="s">
        <v>6573</v>
      </c>
      <c r="Q334" s="56" t="s">
        <v>6438</v>
      </c>
      <c r="R334" s="96" t="s">
        <v>6698</v>
      </c>
      <c r="S334" s="96" t="s">
        <v>6575</v>
      </c>
      <c r="T334" s="54" t="s">
        <v>6162</v>
      </c>
      <c r="U334" s="54" t="s">
        <v>6206</v>
      </c>
      <c r="V334" s="56" t="s">
        <v>5969</v>
      </c>
      <c r="W334" s="54" t="s">
        <v>5494</v>
      </c>
    </row>
    <row r="335" spans="1:23" ht="26.25" hidden="1" customHeight="1">
      <c r="A335" s="155" t="s">
        <v>5270</v>
      </c>
      <c r="B335" s="47"/>
      <c r="C335" s="17"/>
      <c r="D335" s="47"/>
      <c r="E335" s="56" t="s">
        <v>5983</v>
      </c>
      <c r="F335" s="56" t="s">
        <v>5917</v>
      </c>
      <c r="G335" s="54" t="s">
        <v>6416</v>
      </c>
      <c r="H335" s="17"/>
      <c r="I335" s="54" t="s">
        <v>6170</v>
      </c>
      <c r="J335" s="20"/>
      <c r="K335" s="17"/>
      <c r="L335" s="55" t="s">
        <v>5860</v>
      </c>
      <c r="M335" s="96" t="s">
        <v>5953</v>
      </c>
      <c r="N335" s="54" t="s">
        <v>6341</v>
      </c>
      <c r="O335" s="96" t="s">
        <v>6572</v>
      </c>
      <c r="P335" s="96" t="s">
        <v>6476</v>
      </c>
      <c r="Q335" s="54" t="s">
        <v>6458</v>
      </c>
      <c r="R335" s="17"/>
      <c r="S335" s="54" t="s">
        <v>6588</v>
      </c>
      <c r="T335" s="54" t="s">
        <v>6319</v>
      </c>
      <c r="U335" s="54" t="s">
        <v>6256</v>
      </c>
      <c r="V335" s="54" t="s">
        <v>5992</v>
      </c>
      <c r="W335" s="54" t="s">
        <v>5515</v>
      </c>
    </row>
    <row r="336" spans="1:23" ht="26.25" hidden="1" customHeight="1">
      <c r="A336" s="56" t="s">
        <v>6352</v>
      </c>
      <c r="B336" s="47"/>
      <c r="C336" s="17"/>
      <c r="D336" s="47"/>
      <c r="E336" s="96" t="s">
        <v>5995</v>
      </c>
      <c r="F336" s="177" t="s">
        <v>5693</v>
      </c>
      <c r="G336" s="96" t="s">
        <v>6510</v>
      </c>
      <c r="H336" s="17"/>
      <c r="I336" s="56" t="s">
        <v>6260</v>
      </c>
      <c r="J336" s="48"/>
      <c r="K336" s="17"/>
      <c r="L336" s="172" t="s">
        <v>5879</v>
      </c>
      <c r="M336" s="96" t="s">
        <v>5997</v>
      </c>
      <c r="N336" s="54" t="s">
        <v>6354</v>
      </c>
      <c r="O336" s="54" t="s">
        <v>6615</v>
      </c>
      <c r="P336" s="54" t="s">
        <v>6616</v>
      </c>
      <c r="Q336" s="172" t="s">
        <v>6587</v>
      </c>
      <c r="R336" s="48"/>
      <c r="S336" s="54" t="s">
        <v>6639</v>
      </c>
      <c r="T336" s="54" t="s">
        <v>6397</v>
      </c>
      <c r="U336" s="54" t="s">
        <v>6293</v>
      </c>
      <c r="V336" s="54" t="s">
        <v>6192</v>
      </c>
      <c r="W336" s="54" t="s">
        <v>5530</v>
      </c>
    </row>
    <row r="337" spans="1:23" ht="26.25" hidden="1" customHeight="1">
      <c r="A337" s="54" t="s">
        <v>6439</v>
      </c>
      <c r="B337" s="47"/>
      <c r="C337" s="17"/>
      <c r="D337" s="47"/>
      <c r="E337" s="54" t="s">
        <v>6059</v>
      </c>
      <c r="F337" s="152" t="s">
        <v>6067</v>
      </c>
      <c r="G337" s="96"/>
      <c r="H337" s="17"/>
      <c r="I337" s="54" t="s">
        <v>6490</v>
      </c>
      <c r="J337" s="17"/>
      <c r="K337" s="17"/>
      <c r="L337" s="96" t="s">
        <v>5950</v>
      </c>
      <c r="M337" s="96" t="s">
        <v>6069</v>
      </c>
      <c r="N337" s="96" t="s">
        <v>6368</v>
      </c>
      <c r="O337" s="54" t="s">
        <v>6659</v>
      </c>
      <c r="P337" s="172"/>
      <c r="Q337" s="172"/>
      <c r="R337" s="17"/>
      <c r="S337" s="54" t="s">
        <v>6660</v>
      </c>
      <c r="T337" s="54" t="s">
        <v>6445</v>
      </c>
      <c r="U337" s="54" t="s">
        <v>6399</v>
      </c>
      <c r="V337" s="155" t="s">
        <v>5270</v>
      </c>
      <c r="W337" s="54" t="s">
        <v>5538</v>
      </c>
    </row>
    <row r="338" spans="1:23" ht="26.25" hidden="1" customHeight="1">
      <c r="A338" s="54" t="s">
        <v>5693</v>
      </c>
      <c r="B338" s="47"/>
      <c r="C338" s="17"/>
      <c r="D338" s="47"/>
      <c r="E338" s="54" t="s">
        <v>6101</v>
      </c>
      <c r="F338" s="54" t="s">
        <v>6102</v>
      </c>
      <c r="G338" s="47"/>
      <c r="H338" s="17"/>
      <c r="I338" s="96"/>
      <c r="J338" s="17"/>
      <c r="K338" s="36"/>
      <c r="L338" s="56" t="s">
        <v>5968</v>
      </c>
      <c r="M338" s="96" t="s">
        <v>6138</v>
      </c>
      <c r="N338" s="54" t="s">
        <v>6355</v>
      </c>
      <c r="O338" s="96" t="s">
        <v>6663</v>
      </c>
      <c r="P338" s="20"/>
      <c r="Q338" s="17"/>
      <c r="R338" s="20"/>
      <c r="S338" s="54" t="s">
        <v>6699</v>
      </c>
      <c r="T338" s="54" t="s">
        <v>6459</v>
      </c>
      <c r="U338" s="96" t="s">
        <v>6460</v>
      </c>
      <c r="V338" s="96" t="s">
        <v>6201</v>
      </c>
      <c r="W338" s="56" t="s">
        <v>5541</v>
      </c>
    </row>
    <row r="339" spans="1:23" ht="26.25" hidden="1" customHeight="1">
      <c r="A339" s="56" t="s">
        <v>6467</v>
      </c>
      <c r="B339" s="47"/>
      <c r="C339" s="17"/>
      <c r="D339" s="47"/>
      <c r="E339" s="96" t="s">
        <v>6126</v>
      </c>
      <c r="F339" s="54" t="s">
        <v>6136</v>
      </c>
      <c r="G339" s="47"/>
      <c r="H339" s="17"/>
      <c r="I339" s="17"/>
      <c r="J339" s="17"/>
      <c r="K339" s="17"/>
      <c r="L339" s="54" t="s">
        <v>5986</v>
      </c>
      <c r="M339" s="96" t="s">
        <v>6144</v>
      </c>
      <c r="N339" s="96" t="s">
        <v>6382</v>
      </c>
      <c r="O339" s="96" t="s">
        <v>6675</v>
      </c>
      <c r="P339" s="20"/>
      <c r="Q339" s="17"/>
      <c r="R339" s="17"/>
      <c r="S339" s="48"/>
      <c r="T339" s="54" t="s">
        <v>6485</v>
      </c>
      <c r="U339" s="54" t="s">
        <v>6453</v>
      </c>
      <c r="V339" s="96" t="s">
        <v>6202</v>
      </c>
      <c r="W339" s="54" t="s">
        <v>5568</v>
      </c>
    </row>
    <row r="340" spans="1:23" ht="26.25" hidden="1" customHeight="1">
      <c r="A340" s="17" t="s">
        <v>6561</v>
      </c>
      <c r="B340" s="47"/>
      <c r="C340" s="17"/>
      <c r="D340" s="47"/>
      <c r="E340" s="54" t="s">
        <v>6127</v>
      </c>
      <c r="F340" s="55" t="s">
        <v>5808</v>
      </c>
      <c r="G340" s="47"/>
      <c r="H340" s="17"/>
      <c r="I340" s="17"/>
      <c r="J340" s="36"/>
      <c r="K340" s="36"/>
      <c r="L340" s="54" t="s">
        <v>5985</v>
      </c>
      <c r="M340" s="96" t="s">
        <v>6160</v>
      </c>
      <c r="N340" s="54" t="s">
        <v>6394</v>
      </c>
      <c r="O340" s="96"/>
      <c r="P340" s="20"/>
      <c r="Q340" s="17"/>
      <c r="R340" s="20"/>
      <c r="S340" s="17"/>
      <c r="T340" s="54" t="s">
        <v>6506</v>
      </c>
      <c r="U340" s="54" t="s">
        <v>6488</v>
      </c>
      <c r="V340" s="54" t="s">
        <v>6203</v>
      </c>
      <c r="W340" s="96" t="s">
        <v>5581</v>
      </c>
    </row>
    <row r="341" spans="1:23" ht="26.25" hidden="1" customHeight="1">
      <c r="A341" s="17"/>
      <c r="B341" s="47"/>
      <c r="C341" s="36"/>
      <c r="D341" s="47"/>
      <c r="E341" s="54" t="s">
        <v>6135</v>
      </c>
      <c r="F341" s="55" t="s">
        <v>6142</v>
      </c>
      <c r="G341" s="47"/>
      <c r="H341" s="20"/>
      <c r="I341" s="17"/>
      <c r="J341" s="17"/>
      <c r="K341" s="17"/>
      <c r="L341" s="96" t="s">
        <v>6060</v>
      </c>
      <c r="M341" s="96" t="s">
        <v>6190</v>
      </c>
      <c r="N341" s="96" t="s">
        <v>6401</v>
      </c>
      <c r="O341" s="17"/>
      <c r="P341" s="20"/>
      <c r="Q341" s="17"/>
      <c r="R341" s="17"/>
      <c r="S341" s="17"/>
      <c r="T341" s="54" t="s">
        <v>6533</v>
      </c>
      <c r="U341" s="54" t="s">
        <v>6556</v>
      </c>
      <c r="V341" s="54" t="s">
        <v>6211</v>
      </c>
      <c r="W341" s="54" t="s">
        <v>5598</v>
      </c>
    </row>
    <row r="342" spans="1:23" ht="26.25" hidden="1" customHeight="1">
      <c r="A342" s="169"/>
      <c r="B342" s="47"/>
      <c r="C342" s="17"/>
      <c r="D342" s="47"/>
      <c r="E342" s="54" t="s">
        <v>6176</v>
      </c>
      <c r="F342" s="54" t="s">
        <v>6208</v>
      </c>
      <c r="G342" s="47"/>
      <c r="H342" s="20"/>
      <c r="I342" s="17"/>
      <c r="J342" s="20"/>
      <c r="K342" s="20"/>
      <c r="L342" s="96" t="s">
        <v>6087</v>
      </c>
      <c r="M342" s="54" t="s">
        <v>6198</v>
      </c>
      <c r="N342" s="56" t="s">
        <v>6475</v>
      </c>
      <c r="O342" s="36"/>
      <c r="P342" s="20"/>
      <c r="Q342" s="17"/>
      <c r="R342" s="17"/>
      <c r="S342" s="17"/>
      <c r="T342" s="54" t="s">
        <v>6589</v>
      </c>
      <c r="U342" s="54" t="s">
        <v>6576</v>
      </c>
      <c r="V342" s="54" t="s">
        <v>6228</v>
      </c>
      <c r="W342" s="56" t="s">
        <v>5618</v>
      </c>
    </row>
    <row r="343" spans="1:23" ht="26.25" hidden="1" customHeight="1">
      <c r="A343" s="17"/>
      <c r="B343" s="47"/>
      <c r="C343" s="36"/>
      <c r="D343" s="47"/>
      <c r="E343" s="56" t="s">
        <v>6164</v>
      </c>
      <c r="F343" s="54" t="s">
        <v>6277</v>
      </c>
      <c r="G343" s="47"/>
      <c r="H343" s="20"/>
      <c r="I343" s="17"/>
      <c r="J343" s="47"/>
      <c r="K343" s="47"/>
      <c r="L343" s="96" t="s">
        <v>6137</v>
      </c>
      <c r="M343" s="54" t="s">
        <v>6199</v>
      </c>
      <c r="N343" s="96" t="s">
        <v>6649</v>
      </c>
      <c r="O343" s="17"/>
      <c r="P343" s="20"/>
      <c r="Q343" s="17"/>
      <c r="R343" s="17"/>
      <c r="S343" s="17"/>
      <c r="T343" s="54" t="s">
        <v>6579</v>
      </c>
      <c r="U343" s="54" t="s">
        <v>6579</v>
      </c>
      <c r="V343" s="56" t="s">
        <v>6245</v>
      </c>
      <c r="W343" s="54" t="s">
        <v>5721</v>
      </c>
    </row>
    <row r="344" spans="1:23" ht="26.25" hidden="1" customHeight="1">
      <c r="A344" s="17"/>
      <c r="B344" s="47"/>
      <c r="C344" s="17"/>
      <c r="D344" s="47"/>
      <c r="E344" s="55" t="s">
        <v>6205</v>
      </c>
      <c r="F344" s="54" t="s">
        <v>6366</v>
      </c>
      <c r="G344" s="47"/>
      <c r="H344" s="20"/>
      <c r="I344" s="17"/>
      <c r="J344" s="17"/>
      <c r="K344" s="17"/>
      <c r="L344" s="96" t="s">
        <v>6161</v>
      </c>
      <c r="M344" s="54" t="s">
        <v>6210</v>
      </c>
      <c r="N344" s="96" t="s">
        <v>6650</v>
      </c>
      <c r="O344" s="17"/>
      <c r="P344" s="20"/>
      <c r="Q344" s="17"/>
      <c r="R344" s="17"/>
      <c r="S344" s="17"/>
      <c r="T344" s="48"/>
      <c r="U344" s="48"/>
      <c r="V344" s="54" t="s">
        <v>6294</v>
      </c>
      <c r="W344" s="54" t="s">
        <v>5643</v>
      </c>
    </row>
    <row r="345" spans="1:23" ht="26.25" hidden="1" customHeight="1">
      <c r="A345" s="17"/>
      <c r="B345" s="47"/>
      <c r="C345" s="20"/>
      <c r="D345" s="17"/>
      <c r="E345" s="54" t="s">
        <v>6225</v>
      </c>
      <c r="F345" s="55" t="s">
        <v>6379</v>
      </c>
      <c r="G345" s="47"/>
      <c r="H345" s="20"/>
      <c r="I345" s="17"/>
      <c r="J345" s="47"/>
      <c r="K345" s="47"/>
      <c r="L345" s="96" t="s">
        <v>6185</v>
      </c>
      <c r="M345" s="54" t="s">
        <v>6231</v>
      </c>
      <c r="N345" s="96" t="s">
        <v>6674</v>
      </c>
      <c r="O345" s="20"/>
      <c r="P345" s="20"/>
      <c r="Q345" s="17"/>
      <c r="R345" s="20"/>
      <c r="S345" s="17"/>
      <c r="T345" s="185"/>
      <c r="U345" s="17"/>
      <c r="V345" s="54" t="s">
        <v>6358</v>
      </c>
      <c r="W345" s="54" t="s">
        <v>5728</v>
      </c>
    </row>
    <row r="346" spans="1:23" ht="26.25" hidden="1" customHeight="1">
      <c r="A346" s="17"/>
      <c r="B346" s="17"/>
      <c r="C346" s="47"/>
      <c r="D346" s="17"/>
      <c r="E346" s="54" t="s">
        <v>6242</v>
      </c>
      <c r="F346" s="54" t="s">
        <v>6414</v>
      </c>
      <c r="G346" s="20"/>
      <c r="H346" s="20"/>
      <c r="I346" s="17"/>
      <c r="J346" s="36"/>
      <c r="K346" s="36"/>
      <c r="L346" s="96" t="s">
        <v>6191</v>
      </c>
      <c r="M346" s="96" t="s">
        <v>6232</v>
      </c>
      <c r="N346" s="96" t="s">
        <v>6679</v>
      </c>
      <c r="O346" s="20"/>
      <c r="P346" s="17"/>
      <c r="Q346" s="17"/>
      <c r="R346" s="20"/>
      <c r="S346" s="17"/>
      <c r="T346" s="17"/>
      <c r="U346" s="17"/>
      <c r="V346" s="55" t="s">
        <v>6443</v>
      </c>
      <c r="W346" s="54" t="s">
        <v>5751</v>
      </c>
    </row>
    <row r="347" spans="1:23" ht="26.25" hidden="1" customHeight="1">
      <c r="A347" s="17"/>
      <c r="B347" s="20"/>
      <c r="C347" s="20"/>
      <c r="D347" s="20"/>
      <c r="E347" s="172" t="s">
        <v>6248</v>
      </c>
      <c r="F347" s="54" t="s">
        <v>6456</v>
      </c>
      <c r="G347" s="47"/>
      <c r="H347" s="20"/>
      <c r="I347" s="17"/>
      <c r="J347" s="48"/>
      <c r="K347" s="47"/>
      <c r="L347" s="54" t="s">
        <v>6209</v>
      </c>
      <c r="M347" s="96" t="s">
        <v>6254</v>
      </c>
      <c r="N347" s="96" t="s">
        <v>6697</v>
      </c>
      <c r="O347" s="20"/>
      <c r="P347" s="17"/>
      <c r="Q347" s="17"/>
      <c r="R347" s="17"/>
      <c r="S347" s="17"/>
      <c r="T347" s="17"/>
      <c r="U347" s="17"/>
      <c r="V347" s="172" t="s">
        <v>6470</v>
      </c>
      <c r="W347" s="54" t="s">
        <v>5824</v>
      </c>
    </row>
    <row r="348" spans="1:23" ht="26.25" hidden="1" customHeight="1">
      <c r="A348" s="17"/>
      <c r="B348" s="47"/>
      <c r="C348" s="47"/>
      <c r="D348" s="169"/>
      <c r="E348" s="96" t="s">
        <v>6253</v>
      </c>
      <c r="F348" s="54" t="s">
        <v>6537</v>
      </c>
      <c r="G348" s="47"/>
      <c r="H348" s="20"/>
      <c r="I348" s="17"/>
      <c r="J348" s="20"/>
      <c r="K348" s="20"/>
      <c r="L348" s="54" t="s">
        <v>6226</v>
      </c>
      <c r="M348" s="96" t="s">
        <v>6290</v>
      </c>
      <c r="N348" s="20"/>
      <c r="O348" s="20"/>
      <c r="P348" s="20"/>
      <c r="Q348" s="17"/>
      <c r="R348" s="17"/>
      <c r="S348" s="17"/>
      <c r="T348" s="17"/>
      <c r="U348" s="17"/>
      <c r="V348" s="54" t="s">
        <v>6534</v>
      </c>
      <c r="W348" s="54" t="s">
        <v>5838</v>
      </c>
    </row>
    <row r="349" spans="1:23" ht="26.25" hidden="1" customHeight="1">
      <c r="A349" s="47"/>
      <c r="B349" s="17"/>
      <c r="C349" s="17"/>
      <c r="D349" s="20"/>
      <c r="E349" s="54" t="s">
        <v>6327</v>
      </c>
      <c r="F349" s="54" t="s">
        <v>6613</v>
      </c>
      <c r="G349" s="17"/>
      <c r="H349" s="20"/>
      <c r="I349" s="17"/>
      <c r="J349" s="20"/>
      <c r="K349" s="20"/>
      <c r="L349" s="54" t="s">
        <v>6229</v>
      </c>
      <c r="M349" s="56" t="s">
        <v>6326</v>
      </c>
      <c r="N349" s="17"/>
      <c r="O349" s="20"/>
      <c r="P349" s="47"/>
      <c r="Q349" s="47"/>
      <c r="R349" s="17"/>
      <c r="S349" s="17"/>
      <c r="T349" s="17"/>
      <c r="U349" s="17"/>
      <c r="V349" s="172" t="s">
        <v>6557</v>
      </c>
      <c r="W349" s="56" t="s">
        <v>5864</v>
      </c>
    </row>
    <row r="350" spans="1:23" ht="26.25" hidden="1" customHeight="1">
      <c r="A350" s="17"/>
      <c r="B350" s="17"/>
      <c r="C350" s="17"/>
      <c r="D350" s="17"/>
      <c r="E350" s="54" t="s">
        <v>6353</v>
      </c>
      <c r="F350" s="54" t="s">
        <v>6637</v>
      </c>
      <c r="G350" s="17"/>
      <c r="H350" s="17"/>
      <c r="I350" s="17"/>
      <c r="J350" s="48"/>
      <c r="K350" s="48"/>
      <c r="L350" s="54" t="s">
        <v>6230</v>
      </c>
      <c r="M350" s="56" t="s">
        <v>6367</v>
      </c>
      <c r="N350" s="48"/>
      <c r="O350" s="20"/>
      <c r="P350" s="17"/>
      <c r="Q350" s="17"/>
      <c r="R350" s="17"/>
      <c r="S350" s="17"/>
      <c r="T350" s="17"/>
      <c r="U350" s="17"/>
      <c r="V350" s="96" t="s">
        <v>6562</v>
      </c>
      <c r="W350" s="96" t="s">
        <v>5865</v>
      </c>
    </row>
    <row r="351" spans="1:23" ht="26.25" hidden="1" customHeight="1">
      <c r="A351" s="17"/>
      <c r="B351" s="17"/>
      <c r="C351" s="47"/>
      <c r="D351" s="17"/>
      <c r="E351" s="54" t="s">
        <v>6440</v>
      </c>
      <c r="F351" s="54" t="s">
        <v>6658</v>
      </c>
      <c r="G351" s="17"/>
      <c r="H351" s="20"/>
      <c r="I351" s="20"/>
      <c r="J351" s="20"/>
      <c r="K351" s="20"/>
      <c r="L351" s="96" t="s">
        <v>6244</v>
      </c>
      <c r="M351" s="96" t="s">
        <v>6380</v>
      </c>
      <c r="N351" s="17"/>
      <c r="O351" s="20"/>
      <c r="P351" s="17"/>
      <c r="Q351" s="17"/>
      <c r="R351" s="17"/>
      <c r="S351" s="17"/>
      <c r="T351" s="17"/>
      <c r="U351" s="17"/>
      <c r="V351" s="96" t="s">
        <v>6577</v>
      </c>
      <c r="W351" s="56" t="s">
        <v>5866</v>
      </c>
    </row>
    <row r="352" spans="1:23" ht="26.25" hidden="1" customHeight="1">
      <c r="A352" s="17"/>
      <c r="B352" s="17"/>
      <c r="C352" s="17"/>
      <c r="D352" s="17"/>
      <c r="E352" s="56" t="s">
        <v>6469</v>
      </c>
      <c r="F352" s="54"/>
      <c r="G352" s="17"/>
      <c r="H352" s="17"/>
      <c r="I352" s="17"/>
      <c r="J352" s="17"/>
      <c r="K352" s="17"/>
      <c r="L352" s="56" t="s">
        <v>6418</v>
      </c>
      <c r="M352" s="96" t="s">
        <v>6381</v>
      </c>
      <c r="N352" s="20"/>
      <c r="O352" s="20"/>
      <c r="P352" s="169"/>
      <c r="Q352" s="169"/>
      <c r="R352" s="47"/>
      <c r="S352" s="17"/>
      <c r="T352" s="17"/>
      <c r="U352" s="17"/>
      <c r="V352" s="155" t="s">
        <v>5693</v>
      </c>
      <c r="W352" s="56" t="s">
        <v>5874</v>
      </c>
    </row>
    <row r="353" spans="1:23" ht="26.25" hidden="1" customHeight="1">
      <c r="A353" s="17"/>
      <c r="B353" s="17"/>
      <c r="C353" s="17"/>
      <c r="D353" s="17"/>
      <c r="E353" s="54" t="s">
        <v>6483</v>
      </c>
      <c r="F353" s="17"/>
      <c r="G353" s="17"/>
      <c r="H353" s="17"/>
      <c r="I353" s="17"/>
      <c r="J353" s="17"/>
      <c r="K353" s="17"/>
      <c r="L353" s="172" t="s">
        <v>6441</v>
      </c>
      <c r="M353" s="56" t="s">
        <v>6393</v>
      </c>
      <c r="N353" s="17"/>
      <c r="O353" s="17"/>
      <c r="P353" s="17"/>
      <c r="Q353" s="47"/>
      <c r="R353" s="47"/>
      <c r="S353" s="47"/>
      <c r="T353" s="17"/>
      <c r="U353" s="17"/>
      <c r="V353" s="54" t="s">
        <v>6560</v>
      </c>
      <c r="W353" s="96" t="s">
        <v>5875</v>
      </c>
    </row>
    <row r="354" spans="1:23" ht="26.25" hidden="1" customHeight="1">
      <c r="A354" s="17"/>
      <c r="B354" s="17"/>
      <c r="C354" s="17"/>
      <c r="D354" s="17"/>
      <c r="E354" s="96" t="s">
        <v>6532</v>
      </c>
      <c r="F354" s="17"/>
      <c r="G354" s="17"/>
      <c r="H354" s="47"/>
      <c r="I354" s="47"/>
      <c r="J354" s="17"/>
      <c r="K354" s="17"/>
      <c r="L354" s="96" t="s">
        <v>6548</v>
      </c>
      <c r="M354" s="56" t="s">
        <v>6489</v>
      </c>
      <c r="N354" s="17"/>
      <c r="O354" s="17"/>
      <c r="P354" s="17"/>
      <c r="Q354" s="17"/>
      <c r="R354" s="17"/>
      <c r="S354" s="17"/>
      <c r="T354" s="17"/>
      <c r="U354" s="17"/>
      <c r="V354" s="56" t="s">
        <v>6590</v>
      </c>
      <c r="W354" s="54" t="s">
        <v>5901</v>
      </c>
    </row>
    <row r="355" spans="1:23" ht="26.25" hidden="1" customHeight="1">
      <c r="A355" s="17"/>
      <c r="B355" s="17"/>
      <c r="C355" s="17"/>
      <c r="D355" s="17"/>
      <c r="E355" s="54" t="s">
        <v>6657</v>
      </c>
      <c r="F355" s="17"/>
      <c r="G355" s="17"/>
      <c r="H355" s="17"/>
      <c r="I355" s="17"/>
      <c r="J355" s="17"/>
      <c r="K355" s="17"/>
      <c r="L355" s="96" t="s">
        <v>6549</v>
      </c>
      <c r="M355" s="96" t="s">
        <v>6571</v>
      </c>
      <c r="N355" s="17"/>
      <c r="O355" s="17"/>
      <c r="P355" s="17"/>
      <c r="Q355" s="17"/>
      <c r="R355" s="17"/>
      <c r="S355" s="17"/>
      <c r="T355" s="47"/>
      <c r="U355" s="47"/>
      <c r="V355" s="172" t="s">
        <v>6591</v>
      </c>
      <c r="W355" s="96" t="s">
        <v>5912</v>
      </c>
    </row>
    <row r="356" spans="1:23" ht="26.25" hidden="1" customHeight="1">
      <c r="A356" s="17"/>
      <c r="B356" s="17"/>
      <c r="C356" s="17"/>
      <c r="D356" s="17"/>
      <c r="E356" s="54" t="s">
        <v>6664</v>
      </c>
      <c r="F356" s="20"/>
      <c r="G356" s="17"/>
      <c r="H356" s="17"/>
      <c r="I356" s="17"/>
      <c r="J356" s="17"/>
      <c r="K356" s="17"/>
      <c r="L356" s="96" t="s">
        <v>6550</v>
      </c>
      <c r="M356" s="54" t="s">
        <v>6582</v>
      </c>
      <c r="N356" s="17"/>
      <c r="O356" s="17"/>
      <c r="P356" s="17"/>
      <c r="Q356" s="17"/>
      <c r="R356" s="17"/>
      <c r="S356" s="17"/>
      <c r="T356" s="17"/>
      <c r="U356" s="17"/>
      <c r="V356" s="172" t="s">
        <v>6617</v>
      </c>
      <c r="W356" s="96" t="s">
        <v>5937</v>
      </c>
    </row>
    <row r="357" spans="1:23" ht="26.25" hidden="1" customHeight="1">
      <c r="A357" s="17"/>
      <c r="B357" s="17"/>
      <c r="C357" s="17"/>
      <c r="D357" s="17"/>
      <c r="E357" s="108" t="s">
        <v>6673</v>
      </c>
      <c r="F357" s="47"/>
      <c r="G357" s="17"/>
      <c r="H357" s="17"/>
      <c r="I357" s="17"/>
      <c r="J357" s="17"/>
      <c r="K357" s="17"/>
      <c r="L357" s="96" t="s">
        <v>6551</v>
      </c>
      <c r="M357" s="96" t="s">
        <v>6586</v>
      </c>
      <c r="N357" s="17"/>
      <c r="O357" s="17"/>
      <c r="P357" s="17"/>
      <c r="Q357" s="17"/>
      <c r="R357" s="17"/>
      <c r="S357" s="17"/>
      <c r="T357" s="47"/>
      <c r="U357" s="17"/>
      <c r="V357" s="56" t="s">
        <v>6689</v>
      </c>
      <c r="W357" s="54" t="s">
        <v>5927</v>
      </c>
    </row>
    <row r="358" spans="1:23" ht="26.25" hidden="1" customHeight="1">
      <c r="A358" s="17"/>
      <c r="B358" s="17"/>
      <c r="C358" s="17"/>
      <c r="D358" s="17"/>
      <c r="E358" s="54" t="s">
        <v>6688</v>
      </c>
      <c r="F358" s="17"/>
      <c r="G358" s="17"/>
      <c r="H358" s="17"/>
      <c r="I358" s="17"/>
      <c r="J358" s="17"/>
      <c r="K358" s="17"/>
      <c r="L358" s="96" t="s">
        <v>6570</v>
      </c>
      <c r="M358" s="96" t="s">
        <v>6640</v>
      </c>
      <c r="N358" s="17"/>
      <c r="O358" s="17"/>
      <c r="P358" s="17"/>
      <c r="Q358" s="17"/>
      <c r="R358" s="17"/>
      <c r="S358" s="17"/>
      <c r="T358" s="17"/>
      <c r="U358" s="17"/>
      <c r="V358" s="48"/>
      <c r="W358" s="55" t="s">
        <v>5939</v>
      </c>
    </row>
    <row r="359" spans="1:23" ht="26.25" hidden="1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54" t="s">
        <v>6597</v>
      </c>
      <c r="M359" s="54" t="s">
        <v>6641</v>
      </c>
      <c r="N359" s="20"/>
      <c r="O359" s="17"/>
      <c r="P359" s="17"/>
      <c r="Q359" s="17"/>
      <c r="R359" s="47"/>
      <c r="S359" s="47"/>
      <c r="T359" s="17"/>
      <c r="U359" s="17"/>
      <c r="V359" s="194"/>
      <c r="W359" s="54" t="s">
        <v>5951</v>
      </c>
    </row>
    <row r="360" spans="1:23" ht="26.25" hidden="1" customHeight="1">
      <c r="A360" s="17"/>
      <c r="B360" s="17"/>
      <c r="C360" s="17"/>
      <c r="D360" s="20"/>
      <c r="E360" s="17"/>
      <c r="F360" s="17"/>
      <c r="G360" s="17"/>
      <c r="H360" s="17"/>
      <c r="I360" s="17"/>
      <c r="J360" s="17"/>
      <c r="K360" s="17"/>
      <c r="L360" s="54" t="s">
        <v>6614</v>
      </c>
      <c r="M360" s="54" t="s">
        <v>6642</v>
      </c>
      <c r="N360" s="17"/>
      <c r="O360" s="17"/>
      <c r="P360" s="17"/>
      <c r="Q360" s="17"/>
      <c r="R360" s="17"/>
      <c r="S360" s="17"/>
      <c r="T360" s="17"/>
      <c r="U360" s="17"/>
      <c r="V360" s="47"/>
      <c r="W360" s="54" t="s">
        <v>5970</v>
      </c>
    </row>
    <row r="361" spans="1:23" ht="26.25" hidden="1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54" t="s">
        <v>6638</v>
      </c>
      <c r="M361" s="54" t="s">
        <v>6696</v>
      </c>
      <c r="N361" s="17"/>
      <c r="O361" s="17"/>
      <c r="P361" s="17"/>
      <c r="Q361" s="17"/>
      <c r="R361" s="17"/>
      <c r="S361" s="17"/>
      <c r="T361" s="17"/>
      <c r="U361" s="17"/>
      <c r="V361" s="17"/>
      <c r="W361" s="54" t="s">
        <v>6010</v>
      </c>
    </row>
    <row r="362" spans="1:23" ht="26.25" hidden="1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54" t="s">
        <v>6695</v>
      </c>
      <c r="M362" s="20"/>
      <c r="N362" s="17"/>
      <c r="O362" s="17"/>
      <c r="P362" s="17"/>
      <c r="Q362" s="17"/>
      <c r="R362" s="17"/>
      <c r="S362" s="17"/>
      <c r="T362" s="17"/>
      <c r="U362" s="17"/>
      <c r="V362" s="17"/>
      <c r="W362" s="54" t="s">
        <v>6116</v>
      </c>
    </row>
    <row r="363" spans="1:23" ht="26.25" hidden="1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20"/>
      <c r="N363" s="17"/>
      <c r="O363" s="17"/>
      <c r="P363" s="17"/>
      <c r="Q363" s="17"/>
      <c r="R363" s="17"/>
      <c r="S363" s="17"/>
      <c r="T363" s="17"/>
      <c r="U363" s="17"/>
      <c r="V363" s="17"/>
      <c r="W363" s="54" t="s">
        <v>6140</v>
      </c>
    </row>
    <row r="364" spans="1:23" ht="26.25" hidden="1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20"/>
      <c r="M364" s="17"/>
      <c r="N364" s="17"/>
      <c r="O364" s="17"/>
      <c r="P364" s="17"/>
      <c r="Q364" s="17"/>
      <c r="R364" s="17"/>
      <c r="S364" s="17"/>
      <c r="T364" s="17"/>
      <c r="U364" s="17"/>
      <c r="V364" s="47"/>
      <c r="W364" s="54" t="s">
        <v>6141</v>
      </c>
    </row>
    <row r="365" spans="1:23" ht="26.25" hidden="1" customHeight="1">
      <c r="A365" s="17"/>
      <c r="B365" s="17"/>
      <c r="C365" s="17"/>
      <c r="D365" s="17"/>
      <c r="E365" s="17"/>
      <c r="F365" s="20"/>
      <c r="G365" s="17"/>
      <c r="H365" s="17"/>
      <c r="I365" s="17"/>
      <c r="J365" s="17"/>
      <c r="K365" s="17"/>
      <c r="L365" s="17"/>
      <c r="M365" s="17"/>
      <c r="N365" s="20"/>
      <c r="O365" s="17"/>
      <c r="P365" s="17"/>
      <c r="Q365" s="17"/>
      <c r="R365" s="17"/>
      <c r="S365" s="17"/>
      <c r="T365" s="17"/>
      <c r="U365" s="17"/>
      <c r="V365" s="17"/>
      <c r="W365" s="96" t="s">
        <v>6143</v>
      </c>
    </row>
    <row r="366" spans="1:23" ht="26.25" hidden="1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20"/>
      <c r="O366" s="17"/>
      <c r="P366" s="17"/>
      <c r="Q366" s="17"/>
      <c r="R366" s="17"/>
      <c r="S366" s="17"/>
      <c r="T366" s="17"/>
      <c r="U366" s="17"/>
      <c r="V366" s="17"/>
      <c r="W366" s="54" t="s">
        <v>6186</v>
      </c>
    </row>
    <row r="367" spans="1:23" ht="26.25" hidden="1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20"/>
      <c r="O367" s="20"/>
      <c r="P367" s="17"/>
      <c r="Q367" s="17"/>
      <c r="R367" s="17"/>
      <c r="S367" s="17"/>
      <c r="T367" s="17"/>
      <c r="U367" s="17"/>
      <c r="V367" s="17"/>
      <c r="W367" s="54" t="s">
        <v>6257</v>
      </c>
    </row>
    <row r="368" spans="1:23" ht="26.25" hidden="1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20"/>
      <c r="P368" s="17"/>
      <c r="Q368" s="17"/>
      <c r="R368" s="17"/>
      <c r="S368" s="17"/>
      <c r="T368" s="17"/>
      <c r="U368" s="17"/>
      <c r="V368" s="17"/>
      <c r="W368" s="54" t="s">
        <v>6276</v>
      </c>
    </row>
    <row r="369" spans="1:23" ht="26.25" hidden="1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47"/>
      <c r="P369" s="17"/>
      <c r="Q369" s="47"/>
      <c r="R369" s="47"/>
      <c r="S369" s="47"/>
      <c r="T369" s="17"/>
      <c r="U369" s="17"/>
      <c r="V369" s="47"/>
      <c r="W369" s="54" t="s">
        <v>6305</v>
      </c>
    </row>
    <row r="370" spans="1:23" ht="26.25" hidden="1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20"/>
      <c r="N370" s="17"/>
      <c r="O370" s="17"/>
      <c r="P370" s="17"/>
      <c r="Q370" s="17"/>
      <c r="R370" s="17"/>
      <c r="S370" s="17"/>
      <c r="T370" s="17"/>
      <c r="U370" s="17"/>
      <c r="V370" s="17"/>
      <c r="W370" s="54" t="s">
        <v>6320</v>
      </c>
    </row>
    <row r="371" spans="1:23" ht="26.25" hidden="1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20"/>
      <c r="N371" s="17"/>
      <c r="O371" s="17"/>
      <c r="P371" s="17"/>
      <c r="Q371" s="17"/>
      <c r="R371" s="17"/>
      <c r="S371" s="17"/>
      <c r="T371" s="17"/>
      <c r="U371" s="17"/>
      <c r="V371" s="17"/>
      <c r="W371" s="54" t="s">
        <v>6398</v>
      </c>
    </row>
    <row r="372" spans="1:23" ht="26.25" hidden="1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36"/>
      <c r="M372" s="20"/>
      <c r="N372" s="17"/>
      <c r="O372" s="17"/>
      <c r="P372" s="17"/>
      <c r="Q372" s="17"/>
      <c r="R372" s="17"/>
      <c r="S372" s="17"/>
      <c r="T372" s="17"/>
      <c r="U372" s="17"/>
      <c r="V372" s="17"/>
      <c r="W372" s="96" t="s">
        <v>6444</v>
      </c>
    </row>
    <row r="373" spans="1:23" ht="26.25" hidden="1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20"/>
      <c r="N373" s="17"/>
      <c r="O373" s="20"/>
      <c r="P373" s="17"/>
      <c r="Q373" s="17"/>
      <c r="R373" s="17"/>
      <c r="S373" s="17"/>
      <c r="T373" s="17"/>
      <c r="U373" s="17"/>
      <c r="V373" s="17"/>
      <c r="W373" s="54" t="s">
        <v>6432</v>
      </c>
    </row>
    <row r="374" spans="1:23" ht="26.25" hidden="1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20"/>
      <c r="N374" s="20"/>
      <c r="O374" s="17"/>
      <c r="P374" s="17"/>
      <c r="Q374" s="17"/>
      <c r="R374" s="17"/>
      <c r="S374" s="17"/>
      <c r="T374" s="17"/>
      <c r="U374" s="17"/>
      <c r="V374" s="17"/>
      <c r="W374" s="55" t="s">
        <v>6461</v>
      </c>
    </row>
    <row r="375" spans="1:23" ht="26.25" hidden="1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20"/>
      <c r="M375" s="17"/>
      <c r="N375" s="20"/>
      <c r="O375" s="17"/>
      <c r="P375" s="17"/>
      <c r="Q375" s="17"/>
      <c r="R375" s="17"/>
      <c r="S375" s="17"/>
      <c r="T375" s="17"/>
      <c r="U375" s="17"/>
      <c r="V375" s="17"/>
      <c r="W375" s="96" t="s">
        <v>6471</v>
      </c>
    </row>
    <row r="376" spans="1:23" ht="26.25" hidden="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20"/>
      <c r="O376" s="17"/>
      <c r="P376" s="17"/>
      <c r="Q376" s="17"/>
      <c r="R376" s="17"/>
      <c r="S376" s="17"/>
      <c r="T376" s="17"/>
      <c r="U376" s="17"/>
      <c r="V376" s="17"/>
      <c r="W376" s="54" t="s">
        <v>6486</v>
      </c>
    </row>
    <row r="377" spans="1:23" ht="26.25" hidden="1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20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54" t="s">
        <v>6472</v>
      </c>
    </row>
    <row r="378" spans="1:23" ht="26.25" hidden="1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20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55" t="s">
        <v>6495</v>
      </c>
    </row>
    <row r="379" spans="1:23" ht="26.25" hidden="1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20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54" t="s">
        <v>6507</v>
      </c>
    </row>
    <row r="380" spans="1:23" ht="26.25" hidden="1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55" t="s">
        <v>6536</v>
      </c>
    </row>
    <row r="381" spans="1:23" ht="26.25" hidden="1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54" t="s">
        <v>6578</v>
      </c>
    </row>
    <row r="382" spans="1:23" ht="26.25" hidden="1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54" t="s">
        <v>6592</v>
      </c>
    </row>
    <row r="383" spans="1:23" s="53" customFormat="1" ht="26.25" hidden="1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 t="s">
        <v>6618</v>
      </c>
    </row>
    <row r="384" spans="1:23" ht="26.25" customHeight="1">
      <c r="A384" s="54" t="s">
        <v>6702</v>
      </c>
      <c r="B384" s="96" t="s">
        <v>6713</v>
      </c>
      <c r="C384" s="96" t="s">
        <v>6713</v>
      </c>
      <c r="D384" s="148" t="s">
        <v>6787</v>
      </c>
      <c r="E384" s="54" t="s">
        <v>6731</v>
      </c>
      <c r="F384" s="54" t="s">
        <v>6728</v>
      </c>
      <c r="G384" s="96" t="s">
        <v>6714</v>
      </c>
      <c r="H384" s="96" t="s">
        <v>6745</v>
      </c>
      <c r="I384" s="96" t="s">
        <v>6749</v>
      </c>
      <c r="J384" s="96" t="s">
        <v>6749</v>
      </c>
      <c r="K384" s="96" t="s">
        <v>6744</v>
      </c>
      <c r="L384" s="54" t="s">
        <v>6715</v>
      </c>
      <c r="M384" s="96" t="s">
        <v>6732</v>
      </c>
      <c r="N384" s="96" t="s">
        <v>6751</v>
      </c>
      <c r="O384" s="96" t="s">
        <v>6711</v>
      </c>
      <c r="P384" s="172" t="s">
        <v>7914</v>
      </c>
      <c r="Q384" s="172" t="s">
        <v>6692</v>
      </c>
      <c r="R384" s="54" t="s">
        <v>6734</v>
      </c>
      <c r="S384" s="56" t="s">
        <v>6871</v>
      </c>
      <c r="T384" s="56" t="s">
        <v>6845</v>
      </c>
      <c r="U384" s="56" t="s">
        <v>6773</v>
      </c>
      <c r="V384" s="56" t="s">
        <v>6773</v>
      </c>
      <c r="W384" s="54" t="s">
        <v>6716</v>
      </c>
    </row>
    <row r="385" spans="1:23" ht="26.25" hidden="1" customHeight="1">
      <c r="A385" s="54" t="s">
        <v>6786</v>
      </c>
      <c r="B385" s="54" t="s">
        <v>6804</v>
      </c>
      <c r="C385" s="54" t="s">
        <v>6804</v>
      </c>
      <c r="D385" s="56" t="s">
        <v>6807</v>
      </c>
      <c r="E385" s="54" t="s">
        <v>6778</v>
      </c>
      <c r="F385" s="54" t="s">
        <v>6735</v>
      </c>
      <c r="G385" s="96" t="s">
        <v>6808</v>
      </c>
      <c r="H385" s="56" t="s">
        <v>6760</v>
      </c>
      <c r="I385" s="56" t="s">
        <v>6760</v>
      </c>
      <c r="J385" s="56" t="s">
        <v>6760</v>
      </c>
      <c r="K385" s="56" t="s">
        <v>6760</v>
      </c>
      <c r="L385" s="54" t="s">
        <v>6729</v>
      </c>
      <c r="M385" s="54" t="s">
        <v>6750</v>
      </c>
      <c r="N385" s="54" t="s">
        <v>6771</v>
      </c>
      <c r="O385" s="96" t="s">
        <v>6730</v>
      </c>
      <c r="P385" s="96" t="s">
        <v>6733</v>
      </c>
      <c r="Q385" s="54" t="s">
        <v>6712</v>
      </c>
      <c r="R385" s="56" t="s">
        <v>6887</v>
      </c>
      <c r="S385" s="96" t="s">
        <v>6888</v>
      </c>
      <c r="T385" s="54" t="s">
        <v>6889</v>
      </c>
      <c r="U385" s="54" t="s">
        <v>6890</v>
      </c>
      <c r="V385" s="54" t="s">
        <v>6962</v>
      </c>
      <c r="W385" s="54" t="s">
        <v>6855</v>
      </c>
    </row>
    <row r="386" spans="1:23" ht="26.25" hidden="1" customHeight="1">
      <c r="A386" s="54" t="s">
        <v>6830</v>
      </c>
      <c r="B386" s="96" t="s">
        <v>7033</v>
      </c>
      <c r="C386" s="96" t="s">
        <v>7034</v>
      </c>
      <c r="D386" s="54" t="s">
        <v>6832</v>
      </c>
      <c r="E386" s="54" t="s">
        <v>6792</v>
      </c>
      <c r="F386" s="54" t="s">
        <v>6779</v>
      </c>
      <c r="G386" s="54" t="s">
        <v>6925</v>
      </c>
      <c r="H386" s="223" t="s">
        <v>7437</v>
      </c>
      <c r="I386" s="223" t="s">
        <v>7437</v>
      </c>
      <c r="J386" s="223" t="s">
        <v>7438</v>
      </c>
      <c r="K386" s="223" t="s">
        <v>7438</v>
      </c>
      <c r="L386" s="96" t="s">
        <v>6789</v>
      </c>
      <c r="M386" s="96" t="s">
        <v>6790</v>
      </c>
      <c r="N386" s="54" t="s">
        <v>6772</v>
      </c>
      <c r="O386" s="96" t="s">
        <v>6801</v>
      </c>
      <c r="P386" s="172" t="s">
        <v>6752</v>
      </c>
      <c r="Q386" s="54" t="s">
        <v>6736</v>
      </c>
      <c r="R386" s="54" t="s">
        <v>6983</v>
      </c>
      <c r="S386" s="96" t="s">
        <v>6898</v>
      </c>
      <c r="T386" s="54" t="s">
        <v>6891</v>
      </c>
      <c r="U386" s="54" t="s">
        <v>6902</v>
      </c>
      <c r="V386" s="96" t="s">
        <v>7044</v>
      </c>
      <c r="W386" s="96" t="s">
        <v>6823</v>
      </c>
    </row>
    <row r="387" spans="1:23" ht="26.25" hidden="1" customHeight="1">
      <c r="A387" s="54" t="s">
        <v>6924</v>
      </c>
      <c r="B387" s="55" t="s">
        <v>7073</v>
      </c>
      <c r="C387" s="96" t="s">
        <v>7282</v>
      </c>
      <c r="D387" s="54" t="s">
        <v>6833</v>
      </c>
      <c r="E387" s="54" t="s">
        <v>6805</v>
      </c>
      <c r="F387" s="54" t="s">
        <v>6788</v>
      </c>
      <c r="G387" s="54" t="s">
        <v>7009</v>
      </c>
      <c r="H387" s="96" t="s">
        <v>7769</v>
      </c>
      <c r="I387" s="96" t="s">
        <v>7707</v>
      </c>
      <c r="J387" s="96" t="s">
        <v>7708</v>
      </c>
      <c r="K387" s="96" t="s">
        <v>7709</v>
      </c>
      <c r="L387" s="96" t="s">
        <v>6794</v>
      </c>
      <c r="M387" s="96" t="s">
        <v>6836</v>
      </c>
      <c r="N387" s="96" t="s">
        <v>6781</v>
      </c>
      <c r="O387" s="54" t="s">
        <v>6806</v>
      </c>
      <c r="P387" s="99" t="s">
        <v>6758</v>
      </c>
      <c r="Q387" s="54" t="s">
        <v>5827</v>
      </c>
      <c r="R387" s="54" t="s">
        <v>6995</v>
      </c>
      <c r="S387" s="54" t="s">
        <v>6896</v>
      </c>
      <c r="T387" s="96" t="s">
        <v>6900</v>
      </c>
      <c r="U387" s="96" t="s">
        <v>6911</v>
      </c>
      <c r="V387" s="104" t="s">
        <v>7168</v>
      </c>
      <c r="W387" s="96" t="s">
        <v>6903</v>
      </c>
    </row>
    <row r="388" spans="1:23" ht="26.25" hidden="1" customHeight="1">
      <c r="A388" s="54" t="s">
        <v>6934</v>
      </c>
      <c r="B388" s="96" t="s">
        <v>7177</v>
      </c>
      <c r="C388" s="99" t="s">
        <v>7231</v>
      </c>
      <c r="D388" s="56" t="s">
        <v>6956</v>
      </c>
      <c r="E388" s="96" t="s">
        <v>6834</v>
      </c>
      <c r="F388" s="54" t="s">
        <v>6831</v>
      </c>
      <c r="G388" s="96" t="s">
        <v>7136</v>
      </c>
      <c r="H388" s="99" t="s">
        <v>7231</v>
      </c>
      <c r="I388" s="99" t="s">
        <v>7231</v>
      </c>
      <c r="J388" s="99" t="s">
        <v>7231</v>
      </c>
      <c r="K388" s="99" t="s">
        <v>7231</v>
      </c>
      <c r="L388" s="96" t="s">
        <v>6800</v>
      </c>
      <c r="M388" s="172" t="s">
        <v>6926</v>
      </c>
      <c r="N388" s="54" t="s">
        <v>6791</v>
      </c>
      <c r="O388" s="54" t="s">
        <v>6838</v>
      </c>
      <c r="P388" s="54" t="s">
        <v>6759</v>
      </c>
      <c r="Q388" s="56" t="s">
        <v>6844</v>
      </c>
      <c r="R388" s="54" t="s">
        <v>7024</v>
      </c>
      <c r="S388" s="54" t="s">
        <v>6897</v>
      </c>
      <c r="T388" s="56" t="s">
        <v>6901</v>
      </c>
      <c r="U388" s="96" t="s">
        <v>6928</v>
      </c>
      <c r="V388" s="96" t="s">
        <v>7218</v>
      </c>
      <c r="W388" s="54" t="s">
        <v>6929</v>
      </c>
    </row>
    <row r="389" spans="1:23" ht="26.25" hidden="1" customHeight="1">
      <c r="A389" s="54" t="s">
        <v>7251</v>
      </c>
      <c r="B389" s="99" t="s">
        <v>7231</v>
      </c>
      <c r="C389" s="96" t="s">
        <v>7526</v>
      </c>
      <c r="D389" s="96" t="s">
        <v>7035</v>
      </c>
      <c r="E389" s="54" t="s">
        <v>6853</v>
      </c>
      <c r="F389" s="96" t="s">
        <v>6848</v>
      </c>
      <c r="G389" s="56" t="s">
        <v>7196</v>
      </c>
      <c r="H389" s="56"/>
      <c r="I389" s="56"/>
      <c r="J389" s="56"/>
      <c r="K389" s="56"/>
      <c r="L389" s="54" t="s">
        <v>6803</v>
      </c>
      <c r="M389" s="96" t="s">
        <v>6972</v>
      </c>
      <c r="N389" s="96" t="s">
        <v>6837</v>
      </c>
      <c r="O389" s="96" t="s">
        <v>6868</v>
      </c>
      <c r="P389" s="54" t="s">
        <v>6780</v>
      </c>
      <c r="Q389" s="54" t="s">
        <v>6959</v>
      </c>
      <c r="R389" s="54" t="s">
        <v>7047</v>
      </c>
      <c r="S389" s="54" t="s">
        <v>6936</v>
      </c>
      <c r="T389" s="96" t="s">
        <v>6912</v>
      </c>
      <c r="U389" s="96" t="s">
        <v>6915</v>
      </c>
      <c r="V389" s="54" t="s">
        <v>7333</v>
      </c>
      <c r="W389" s="96" t="s">
        <v>6920</v>
      </c>
    </row>
    <row r="390" spans="1:23" ht="26.25" hidden="1" customHeight="1">
      <c r="A390" s="54" t="s">
        <v>6982</v>
      </c>
      <c r="B390" s="96" t="s">
        <v>7526</v>
      </c>
      <c r="C390" s="56"/>
      <c r="D390" s="99" t="s">
        <v>7231</v>
      </c>
      <c r="E390" s="54" t="s">
        <v>6953</v>
      </c>
      <c r="F390" s="96" t="s">
        <v>6870</v>
      </c>
      <c r="G390" s="96" t="s">
        <v>7527</v>
      </c>
      <c r="H390" s="17"/>
      <c r="I390" s="17"/>
      <c r="J390" s="17"/>
      <c r="K390" s="48"/>
      <c r="L390" s="54" t="s">
        <v>6809</v>
      </c>
      <c r="M390" s="96" t="s">
        <v>7198</v>
      </c>
      <c r="N390" s="96" t="s">
        <v>6847</v>
      </c>
      <c r="O390" s="96" t="s">
        <v>6856</v>
      </c>
      <c r="P390" s="54" t="s">
        <v>6799</v>
      </c>
      <c r="Q390" s="96" t="s">
        <v>5808</v>
      </c>
      <c r="R390" s="54" t="s">
        <v>7048</v>
      </c>
      <c r="S390" s="54" t="s">
        <v>6984</v>
      </c>
      <c r="T390" s="96" t="s">
        <v>6937</v>
      </c>
      <c r="U390" s="96" t="s">
        <v>6961</v>
      </c>
      <c r="V390" s="54" t="s">
        <v>7334</v>
      </c>
      <c r="W390" s="54" t="s">
        <v>6938</v>
      </c>
    </row>
    <row r="391" spans="1:23" ht="26.25" hidden="1" customHeight="1">
      <c r="A391" s="54" t="s">
        <v>7080</v>
      </c>
      <c r="B391" s="56"/>
      <c r="C391" s="48"/>
      <c r="D391" s="96" t="s">
        <v>7283</v>
      </c>
      <c r="E391" s="54" t="s">
        <v>6954</v>
      </c>
      <c r="F391" s="99" t="s">
        <v>6899</v>
      </c>
      <c r="G391" s="96" t="s">
        <v>7580</v>
      </c>
      <c r="H391" s="17"/>
      <c r="I391" s="17"/>
      <c r="J391" s="17"/>
      <c r="K391" s="17"/>
      <c r="L391" s="54" t="s">
        <v>6835</v>
      </c>
      <c r="M391" s="96" t="s">
        <v>7280</v>
      </c>
      <c r="N391" s="56" t="s">
        <v>6958</v>
      </c>
      <c r="O391" s="96" t="s">
        <v>6857</v>
      </c>
      <c r="P391" s="54" t="s">
        <v>6810</v>
      </c>
      <c r="Q391" s="54" t="s">
        <v>6975</v>
      </c>
      <c r="R391" s="54" t="s">
        <v>7086</v>
      </c>
      <c r="S391" s="101" t="s">
        <v>5270</v>
      </c>
      <c r="T391" s="96" t="s">
        <v>6947</v>
      </c>
      <c r="U391" s="96" t="s">
        <v>7036</v>
      </c>
      <c r="V391" s="54" t="s">
        <v>7349</v>
      </c>
      <c r="W391" s="54" t="s">
        <v>6939</v>
      </c>
    </row>
    <row r="392" spans="1:23" ht="26.25" hidden="1" customHeight="1">
      <c r="A392" s="54" t="s">
        <v>7104</v>
      </c>
      <c r="B392" s="47"/>
      <c r="C392" s="17"/>
      <c r="D392" s="96" t="s">
        <v>7526</v>
      </c>
      <c r="E392" s="96" t="s">
        <v>7021</v>
      </c>
      <c r="F392" s="54" t="s">
        <v>6993</v>
      </c>
      <c r="G392" s="54" t="s">
        <v>7581</v>
      </c>
      <c r="H392" s="17"/>
      <c r="I392" s="17"/>
      <c r="J392" s="17"/>
      <c r="K392" s="17"/>
      <c r="L392" s="54" t="s">
        <v>6840</v>
      </c>
      <c r="M392" s="54" t="s">
        <v>7345</v>
      </c>
      <c r="N392" s="96" t="s">
        <v>6973</v>
      </c>
      <c r="O392" s="96" t="s">
        <v>6885</v>
      </c>
      <c r="P392" s="54" t="s">
        <v>6854</v>
      </c>
      <c r="Q392" s="54" t="s">
        <v>7046</v>
      </c>
      <c r="R392" s="54" t="s">
        <v>7118</v>
      </c>
      <c r="S392" s="54" t="s">
        <v>7012</v>
      </c>
      <c r="T392" s="96" t="s">
        <v>6960</v>
      </c>
      <c r="U392" s="54" t="s">
        <v>7088</v>
      </c>
      <c r="V392" s="54" t="s">
        <v>7350</v>
      </c>
      <c r="W392" s="55" t="s">
        <v>6955</v>
      </c>
    </row>
    <row r="393" spans="1:23" ht="26.25" hidden="1" customHeight="1">
      <c r="A393" s="54" t="s">
        <v>7296</v>
      </c>
      <c r="B393" s="47"/>
      <c r="C393" s="17"/>
      <c r="D393" s="54" t="s">
        <v>7677</v>
      </c>
      <c r="E393" s="54" t="s">
        <v>7081</v>
      </c>
      <c r="F393" s="54" t="s">
        <v>7068</v>
      </c>
      <c r="G393" s="54" t="s">
        <v>7594</v>
      </c>
      <c r="H393" s="17"/>
      <c r="I393" s="17"/>
      <c r="J393" s="17"/>
      <c r="K393" s="17"/>
      <c r="L393" s="96" t="s">
        <v>6846</v>
      </c>
      <c r="M393" s="96" t="s">
        <v>7477</v>
      </c>
      <c r="N393" s="96" t="s">
        <v>7011</v>
      </c>
      <c r="O393" s="96" t="s">
        <v>6974</v>
      </c>
      <c r="P393" s="54" t="s">
        <v>6858</v>
      </c>
      <c r="Q393" s="96" t="s">
        <v>7057</v>
      </c>
      <c r="R393" s="54" t="s">
        <v>5270</v>
      </c>
      <c r="S393" s="96" t="s">
        <v>7025</v>
      </c>
      <c r="T393" s="55" t="s">
        <v>7026</v>
      </c>
      <c r="U393" s="54" t="s">
        <v>7070</v>
      </c>
      <c r="V393" s="54" t="s">
        <v>7468</v>
      </c>
      <c r="W393" s="54" t="s">
        <v>6985</v>
      </c>
    </row>
    <row r="394" spans="1:23" ht="26.25" hidden="1" customHeight="1">
      <c r="A394" s="55" t="s">
        <v>7221</v>
      </c>
      <c r="B394" s="17"/>
      <c r="C394" s="17"/>
      <c r="D394" s="54" t="s">
        <v>7788</v>
      </c>
      <c r="E394" s="54" t="s">
        <v>7305</v>
      </c>
      <c r="F394" s="54" t="s">
        <v>7069</v>
      </c>
      <c r="G394" s="54" t="s">
        <v>7604</v>
      </c>
      <c r="H394" s="47"/>
      <c r="I394" s="47"/>
      <c r="J394" s="47"/>
      <c r="K394" s="47"/>
      <c r="L394" s="172" t="s">
        <v>6926</v>
      </c>
      <c r="M394" s="96" t="s">
        <v>7548</v>
      </c>
      <c r="N394" s="96" t="s">
        <v>6996</v>
      </c>
      <c r="O394" s="96" t="s">
        <v>7023</v>
      </c>
      <c r="P394" s="54" t="s">
        <v>6869</v>
      </c>
      <c r="Q394" s="54" t="s">
        <v>7085</v>
      </c>
      <c r="R394" s="55" t="s">
        <v>7147</v>
      </c>
      <c r="S394" s="155" t="s">
        <v>7307</v>
      </c>
      <c r="T394" s="54" t="s">
        <v>7087</v>
      </c>
      <c r="U394" s="54" t="s">
        <v>7090</v>
      </c>
      <c r="V394" s="54" t="s">
        <v>7479</v>
      </c>
      <c r="W394" s="55" t="s">
        <v>6981</v>
      </c>
    </row>
    <row r="395" spans="1:23" ht="26.25" hidden="1" customHeight="1">
      <c r="A395" s="54" t="s">
        <v>5827</v>
      </c>
      <c r="B395" s="47"/>
      <c r="C395" s="17"/>
      <c r="D395" s="54" t="s">
        <v>7728</v>
      </c>
      <c r="E395" s="54" t="s">
        <v>7344</v>
      </c>
      <c r="F395" s="54" t="s">
        <v>7082</v>
      </c>
      <c r="G395" s="54" t="s">
        <v>7635</v>
      </c>
      <c r="H395" s="48"/>
      <c r="I395" s="47"/>
      <c r="J395" s="47"/>
      <c r="K395" s="47"/>
      <c r="L395" s="54" t="s">
        <v>6935</v>
      </c>
      <c r="M395" s="96" t="s">
        <v>7561</v>
      </c>
      <c r="N395" s="96" t="s">
        <v>7022</v>
      </c>
      <c r="O395" s="96" t="s">
        <v>7045</v>
      </c>
      <c r="P395" s="96" t="s">
        <v>5270</v>
      </c>
      <c r="Q395" s="96" t="s">
        <v>7108</v>
      </c>
      <c r="R395" s="96" t="s">
        <v>7153</v>
      </c>
      <c r="S395" s="99" t="s">
        <v>7511</v>
      </c>
      <c r="T395" s="54" t="s">
        <v>7119</v>
      </c>
      <c r="U395" s="54" t="s">
        <v>7091</v>
      </c>
      <c r="V395" s="96" t="s">
        <v>7495</v>
      </c>
      <c r="W395" s="54" t="s">
        <v>6994</v>
      </c>
    </row>
    <row r="396" spans="1:23" ht="26.25" hidden="1" customHeight="1">
      <c r="A396" s="54" t="s">
        <v>7297</v>
      </c>
      <c r="B396" s="185"/>
      <c r="C396" s="17"/>
      <c r="D396" s="54" t="s">
        <v>7744</v>
      </c>
      <c r="E396" s="54" t="s">
        <v>7390</v>
      </c>
      <c r="F396" s="54" t="s">
        <v>7105</v>
      </c>
      <c r="G396" s="99" t="s">
        <v>7231</v>
      </c>
      <c r="H396" s="17"/>
      <c r="I396" s="17"/>
      <c r="J396" s="17"/>
      <c r="K396" s="17"/>
      <c r="L396" s="54" t="s">
        <v>6933</v>
      </c>
      <c r="M396" s="99" t="s">
        <v>7577</v>
      </c>
      <c r="N396" s="96" t="s">
        <v>7083</v>
      </c>
      <c r="O396" s="54" t="s">
        <v>7037</v>
      </c>
      <c r="P396" s="99" t="s">
        <v>6886</v>
      </c>
      <c r="Q396" s="96" t="s">
        <v>7138</v>
      </c>
      <c r="R396" s="96" t="s">
        <v>7154</v>
      </c>
      <c r="S396" s="54" t="s">
        <v>7497</v>
      </c>
      <c r="T396" s="54" t="s">
        <v>7109</v>
      </c>
      <c r="U396" s="54" t="s">
        <v>7106</v>
      </c>
      <c r="V396" s="54" t="s">
        <v>7531</v>
      </c>
      <c r="W396" s="54" t="s">
        <v>7013</v>
      </c>
    </row>
    <row r="397" spans="1:23" ht="26.25" hidden="1" customHeight="1">
      <c r="A397" s="54" t="s">
        <v>5808</v>
      </c>
      <c r="B397" s="47"/>
      <c r="C397" s="17"/>
      <c r="D397" s="54" t="s">
        <v>7795</v>
      </c>
      <c r="E397" s="54" t="s">
        <v>7560</v>
      </c>
      <c r="F397" s="54" t="s">
        <v>7116</v>
      </c>
      <c r="G397" s="54" t="s">
        <v>7616</v>
      </c>
      <c r="H397" s="17"/>
      <c r="I397" s="17"/>
      <c r="J397" s="47"/>
      <c r="K397" s="47"/>
      <c r="L397" s="99" t="s">
        <v>6957</v>
      </c>
      <c r="M397" s="55" t="s">
        <v>7578</v>
      </c>
      <c r="N397" s="96" t="s">
        <v>7176</v>
      </c>
      <c r="O397" s="96" t="s">
        <v>7084</v>
      </c>
      <c r="P397" s="54" t="s">
        <v>6927</v>
      </c>
      <c r="Q397" s="96" t="s">
        <v>7268</v>
      </c>
      <c r="R397" s="96" t="s">
        <v>7155</v>
      </c>
      <c r="S397" s="54" t="s">
        <v>7745</v>
      </c>
      <c r="T397" s="54" t="s">
        <v>7171</v>
      </c>
      <c r="U397" s="59" t="s">
        <v>7148</v>
      </c>
      <c r="V397" s="54" t="s">
        <v>7637</v>
      </c>
      <c r="W397" s="54" t="s">
        <v>7027</v>
      </c>
    </row>
    <row r="398" spans="1:23" ht="26.25" hidden="1" customHeight="1">
      <c r="A398" s="54" t="s">
        <v>7267</v>
      </c>
      <c r="B398" s="47"/>
      <c r="C398" s="17"/>
      <c r="D398" s="54" t="s">
        <v>7796</v>
      </c>
      <c r="E398" s="54" t="s">
        <v>7756</v>
      </c>
      <c r="F398" s="54" t="s">
        <v>7175</v>
      </c>
      <c r="G398" s="54"/>
      <c r="H398" s="17"/>
      <c r="I398" s="17"/>
      <c r="J398" s="17"/>
      <c r="K398" s="36"/>
      <c r="L398" s="54" t="s">
        <v>7010</v>
      </c>
      <c r="M398" s="54" t="s">
        <v>7595</v>
      </c>
      <c r="N398" s="96" t="s">
        <v>7271</v>
      </c>
      <c r="O398" s="54" t="s">
        <v>7098</v>
      </c>
      <c r="P398" s="55" t="s">
        <v>6931</v>
      </c>
      <c r="Q398" s="96" t="s">
        <v>7328</v>
      </c>
      <c r="R398" s="179" t="s">
        <v>7170</v>
      </c>
      <c r="S398" s="54"/>
      <c r="T398" s="54" t="s">
        <v>7199</v>
      </c>
      <c r="U398" s="54" t="s">
        <v>7180</v>
      </c>
      <c r="V398" s="99" t="s">
        <v>7511</v>
      </c>
      <c r="W398" s="54" t="s">
        <v>7017</v>
      </c>
    </row>
    <row r="399" spans="1:23" ht="26.25" hidden="1" customHeight="1">
      <c r="A399" s="54" t="s">
        <v>5827</v>
      </c>
      <c r="B399" s="20"/>
      <c r="C399" s="20"/>
      <c r="D399" s="54" t="s">
        <v>7797</v>
      </c>
      <c r="E399" s="54" t="s">
        <v>7729</v>
      </c>
      <c r="F399" s="54" t="s">
        <v>7272</v>
      </c>
      <c r="G399" s="48"/>
      <c r="H399" s="163"/>
      <c r="I399" s="17"/>
      <c r="J399" s="47"/>
      <c r="K399" s="47"/>
      <c r="L399" s="96" t="s">
        <v>7137</v>
      </c>
      <c r="M399" s="96" t="s">
        <v>7653</v>
      </c>
      <c r="N399" s="54" t="s">
        <v>7300</v>
      </c>
      <c r="O399" s="54" t="s">
        <v>7107</v>
      </c>
      <c r="P399" s="99" t="s">
        <v>6930</v>
      </c>
      <c r="Q399" s="96" t="s">
        <v>7466</v>
      </c>
      <c r="R399" s="96" t="s">
        <v>7202</v>
      </c>
      <c r="S399" s="17"/>
      <c r="T399" s="56" t="s">
        <v>7253</v>
      </c>
      <c r="U399" s="54" t="s">
        <v>7245</v>
      </c>
      <c r="V399" s="54" t="s">
        <v>7641</v>
      </c>
      <c r="W399" s="54" t="s">
        <v>7018</v>
      </c>
    </row>
    <row r="400" spans="1:23" ht="26.25" hidden="1" customHeight="1">
      <c r="A400" s="54" t="s">
        <v>7326</v>
      </c>
      <c r="B400" s="20"/>
      <c r="C400" s="20"/>
      <c r="D400" s="172"/>
      <c r="E400" s="54" t="s">
        <v>7798</v>
      </c>
      <c r="F400" s="54" t="s">
        <v>7327</v>
      </c>
      <c r="G400" s="185"/>
      <c r="H400" s="17"/>
      <c r="I400" s="17"/>
      <c r="J400" s="17"/>
      <c r="K400" s="17"/>
      <c r="L400" s="96" t="s">
        <v>7204</v>
      </c>
      <c r="M400" s="54" t="s">
        <v>7716</v>
      </c>
      <c r="N400" s="172" t="s">
        <v>7380</v>
      </c>
      <c r="O400" s="96" t="s">
        <v>7117</v>
      </c>
      <c r="P400" s="96" t="s">
        <v>6999</v>
      </c>
      <c r="Q400" s="56" t="s">
        <v>7529</v>
      </c>
      <c r="R400" s="54" t="s">
        <v>7217</v>
      </c>
      <c r="S400" s="17"/>
      <c r="T400" s="54" t="s">
        <v>7270</v>
      </c>
      <c r="U400" s="99" t="s">
        <v>7258</v>
      </c>
      <c r="V400" s="54" t="s">
        <v>7682</v>
      </c>
      <c r="W400" s="54" t="s">
        <v>7089</v>
      </c>
    </row>
    <row r="401" spans="1:23" ht="26.25" hidden="1" customHeight="1">
      <c r="A401" s="17"/>
      <c r="B401" s="185"/>
      <c r="C401" s="185"/>
      <c r="D401" s="17"/>
      <c r="E401" s="54" t="s">
        <v>7846</v>
      </c>
      <c r="F401" s="54" t="s">
        <v>7405</v>
      </c>
      <c r="G401" s="185"/>
      <c r="H401" s="17"/>
      <c r="I401" s="17"/>
      <c r="J401" s="17"/>
      <c r="K401" s="17"/>
      <c r="L401" s="96" t="s">
        <v>7178</v>
      </c>
      <c r="M401" s="54" t="s">
        <v>7800</v>
      </c>
      <c r="N401" s="96" t="s">
        <v>7395</v>
      </c>
      <c r="O401" s="54" t="s">
        <v>7146</v>
      </c>
      <c r="P401" s="96" t="s">
        <v>7250</v>
      </c>
      <c r="Q401" s="54" t="s">
        <v>7563</v>
      </c>
      <c r="R401" s="54" t="s">
        <v>7220</v>
      </c>
      <c r="S401" s="17"/>
      <c r="T401" s="54" t="s">
        <v>7304</v>
      </c>
      <c r="U401" s="54" t="s">
        <v>7302</v>
      </c>
      <c r="V401" s="55" t="s">
        <v>7703</v>
      </c>
      <c r="W401" s="54" t="s">
        <v>7172</v>
      </c>
    </row>
    <row r="402" spans="1:23" ht="26.25" hidden="1" customHeight="1">
      <c r="A402" s="17"/>
      <c r="B402" s="47"/>
      <c r="C402" s="17"/>
      <c r="D402" s="20"/>
      <c r="E402" s="54" t="s">
        <v>7856</v>
      </c>
      <c r="F402" s="54" t="s">
        <v>7436</v>
      </c>
      <c r="G402" s="185"/>
      <c r="H402" s="17"/>
      <c r="I402" s="17"/>
      <c r="J402" s="17"/>
      <c r="K402" s="17"/>
      <c r="L402" s="54" t="s">
        <v>7197</v>
      </c>
      <c r="M402" s="99" t="s">
        <v>7511</v>
      </c>
      <c r="N402" s="96" t="s">
        <v>7406</v>
      </c>
      <c r="O402" s="96" t="s">
        <v>7169</v>
      </c>
      <c r="P402" s="96" t="s">
        <v>7260</v>
      </c>
      <c r="Q402" s="96" t="s">
        <v>5693</v>
      </c>
      <c r="R402" s="54" t="s">
        <v>7244</v>
      </c>
      <c r="S402" s="17"/>
      <c r="T402" s="273" t="s">
        <v>7510</v>
      </c>
      <c r="U402" s="99" t="s">
        <v>7511</v>
      </c>
      <c r="V402" s="54"/>
      <c r="W402" s="55" t="s">
        <v>7158</v>
      </c>
    </row>
    <row r="403" spans="1:23" ht="26.25" hidden="1" customHeight="1">
      <c r="A403" s="17"/>
      <c r="B403" s="17"/>
      <c r="C403" s="17"/>
      <c r="D403" s="17"/>
      <c r="E403" s="96"/>
      <c r="F403" s="96" t="s">
        <v>7593</v>
      </c>
      <c r="G403" s="185"/>
      <c r="H403" s="17"/>
      <c r="I403" s="17"/>
      <c r="J403" s="17"/>
      <c r="K403" s="17"/>
      <c r="L403" s="96" t="s">
        <v>7281</v>
      </c>
      <c r="M403" s="96" t="s">
        <v>7848</v>
      </c>
      <c r="N403" s="96" t="s">
        <v>7407</v>
      </c>
      <c r="O403" s="96" t="s">
        <v>7152</v>
      </c>
      <c r="P403" s="96" t="s">
        <v>7301</v>
      </c>
      <c r="Q403" s="56" t="s">
        <v>7681</v>
      </c>
      <c r="R403" s="54" t="s">
        <v>7269</v>
      </c>
      <c r="S403" s="169"/>
      <c r="T403" s="54" t="s">
        <v>7497</v>
      </c>
      <c r="U403" s="54" t="s">
        <v>7497</v>
      </c>
      <c r="V403" s="17"/>
      <c r="W403" s="54" t="s">
        <v>7200</v>
      </c>
    </row>
    <row r="404" spans="1:23" ht="26.25" hidden="1" customHeight="1">
      <c r="A404" s="17"/>
      <c r="B404" s="47"/>
      <c r="C404" s="47"/>
      <c r="D404" s="47"/>
      <c r="E404" s="17"/>
      <c r="F404" s="54" t="s">
        <v>7634</v>
      </c>
      <c r="G404" s="185"/>
      <c r="H404" s="17"/>
      <c r="I404" s="17"/>
      <c r="J404" s="17"/>
      <c r="K404" s="17"/>
      <c r="L404" s="96" t="s">
        <v>7477</v>
      </c>
      <c r="M404" s="54" t="s">
        <v>7877</v>
      </c>
      <c r="N404" s="54" t="s">
        <v>7449</v>
      </c>
      <c r="O404" s="96" t="s">
        <v>7201</v>
      </c>
      <c r="P404" s="96" t="s">
        <v>7347</v>
      </c>
      <c r="Q404" s="99" t="s">
        <v>7511</v>
      </c>
      <c r="R404" s="54" t="s">
        <v>7348</v>
      </c>
      <c r="S404" s="20"/>
      <c r="T404" s="54" t="s">
        <v>7727</v>
      </c>
      <c r="U404" s="54" t="s">
        <v>7726</v>
      </c>
      <c r="V404" s="17"/>
      <c r="W404" s="96" t="s">
        <v>7203</v>
      </c>
    </row>
    <row r="405" spans="1:23" ht="26.25" hidden="1" customHeight="1">
      <c r="A405" s="17"/>
      <c r="B405" s="47"/>
      <c r="C405" s="17"/>
      <c r="D405" s="17"/>
      <c r="E405" s="17"/>
      <c r="F405" s="54" t="s">
        <v>7639</v>
      </c>
      <c r="G405" s="185"/>
      <c r="H405" s="17"/>
      <c r="I405" s="17"/>
      <c r="J405" s="17"/>
      <c r="K405" s="17"/>
      <c r="L405" s="172" t="s">
        <v>7858</v>
      </c>
      <c r="M405" s="54"/>
      <c r="N405" s="96" t="s">
        <v>7493</v>
      </c>
      <c r="O405" s="96" t="s">
        <v>7243</v>
      </c>
      <c r="P405" s="96" t="s">
        <v>7346</v>
      </c>
      <c r="Q405" s="54"/>
      <c r="R405" s="54" t="s">
        <v>5693</v>
      </c>
      <c r="S405" s="17"/>
      <c r="T405" s="54"/>
      <c r="U405" s="56" t="s">
        <v>7851</v>
      </c>
      <c r="V405" s="17"/>
      <c r="W405" s="54" t="s">
        <v>7205</v>
      </c>
    </row>
    <row r="406" spans="1:23" ht="26.25" hidden="1" customHeight="1">
      <c r="A406" s="17"/>
      <c r="B406" s="20"/>
      <c r="C406" s="47"/>
      <c r="D406" s="47"/>
      <c r="E406" s="17"/>
      <c r="F406" s="96" t="s">
        <v>7640</v>
      </c>
      <c r="G406" s="185"/>
      <c r="H406" s="17"/>
      <c r="I406" s="17"/>
      <c r="J406" s="17"/>
      <c r="K406" s="17"/>
      <c r="L406" s="96" t="s">
        <v>7511</v>
      </c>
      <c r="M406" s="20"/>
      <c r="N406" s="96" t="s">
        <v>7546</v>
      </c>
      <c r="O406" s="96" t="s">
        <v>7252</v>
      </c>
      <c r="P406" s="54" t="s">
        <v>7376</v>
      </c>
      <c r="Q406" s="17"/>
      <c r="R406" s="55" t="s">
        <v>7377</v>
      </c>
      <c r="S406" s="17"/>
      <c r="T406" s="17"/>
      <c r="U406" s="54"/>
      <c r="V406" s="17"/>
      <c r="W406" s="54" t="s">
        <v>7219</v>
      </c>
    </row>
    <row r="407" spans="1:23" ht="26.25" hidden="1" customHeight="1">
      <c r="A407" s="17"/>
      <c r="B407" s="47"/>
      <c r="C407" s="20"/>
      <c r="D407" s="17"/>
      <c r="E407" s="17"/>
      <c r="F407" s="54" t="s">
        <v>7662</v>
      </c>
      <c r="G407" s="47"/>
      <c r="H407" s="17"/>
      <c r="I407" s="17"/>
      <c r="J407" s="17"/>
      <c r="K407" s="17"/>
      <c r="L407" s="54"/>
      <c r="M407" s="48"/>
      <c r="N407" s="54" t="s">
        <v>7567</v>
      </c>
      <c r="O407" s="96" t="s">
        <v>7306</v>
      </c>
      <c r="P407" s="54" t="s">
        <v>7391</v>
      </c>
      <c r="Q407" s="17"/>
      <c r="R407" s="55" t="s">
        <v>7378</v>
      </c>
      <c r="S407" s="17"/>
      <c r="T407" s="17"/>
      <c r="U407" s="17"/>
      <c r="V407" s="17"/>
      <c r="W407" s="54" t="s">
        <v>7222</v>
      </c>
    </row>
    <row r="408" spans="1:23" ht="26.25" hidden="1" customHeight="1">
      <c r="A408" s="17"/>
      <c r="B408" s="17"/>
      <c r="C408" s="185"/>
      <c r="D408" s="185"/>
      <c r="E408" s="17"/>
      <c r="F408" s="54" t="s">
        <v>7666</v>
      </c>
      <c r="G408" s="17"/>
      <c r="H408" s="17"/>
      <c r="I408" s="17"/>
      <c r="J408" s="17"/>
      <c r="K408" s="17"/>
      <c r="L408" s="48"/>
      <c r="M408" s="20"/>
      <c r="N408" s="172" t="s">
        <v>7605</v>
      </c>
      <c r="O408" s="172" t="s">
        <v>7404</v>
      </c>
      <c r="P408" s="54" t="s">
        <v>7414</v>
      </c>
      <c r="Q408" s="20"/>
      <c r="R408" s="55" t="s">
        <v>7379</v>
      </c>
      <c r="S408" s="17"/>
      <c r="T408" s="17"/>
      <c r="U408" s="48"/>
      <c r="V408" s="17"/>
      <c r="W408" s="54" t="s">
        <v>7223</v>
      </c>
    </row>
    <row r="409" spans="1:23" ht="26.25" hidden="1" customHeight="1">
      <c r="A409" s="17"/>
      <c r="B409" s="17"/>
      <c r="C409" s="17"/>
      <c r="D409" s="17"/>
      <c r="E409" s="17"/>
      <c r="F409" s="96" t="s">
        <v>7678</v>
      </c>
      <c r="G409" s="17"/>
      <c r="H409" s="17"/>
      <c r="I409" s="17"/>
      <c r="J409" s="17"/>
      <c r="K409" s="17"/>
      <c r="L409" s="17"/>
      <c r="M409" s="17"/>
      <c r="N409" s="96" t="s">
        <v>7665</v>
      </c>
      <c r="O409" s="172" t="s">
        <v>7441</v>
      </c>
      <c r="P409" s="54" t="s">
        <v>7442</v>
      </c>
      <c r="Q409" s="20"/>
      <c r="R409" s="55" t="s">
        <v>7397</v>
      </c>
      <c r="S409" s="17"/>
      <c r="T409" s="17"/>
      <c r="U409" s="17"/>
      <c r="V409" s="17"/>
      <c r="W409" s="54" t="s">
        <v>7159</v>
      </c>
    </row>
    <row r="410" spans="1:23" ht="26.25" hidden="1" customHeight="1">
      <c r="A410" s="17"/>
      <c r="B410" s="17"/>
      <c r="C410" s="17"/>
      <c r="D410" s="17"/>
      <c r="E410" s="17"/>
      <c r="F410" s="54" t="s">
        <v>7799</v>
      </c>
      <c r="G410" s="17"/>
      <c r="H410" s="17"/>
      <c r="I410" s="17"/>
      <c r="J410" s="17"/>
      <c r="K410" s="17"/>
      <c r="L410" s="17"/>
      <c r="M410" s="17"/>
      <c r="N410" s="96" t="s">
        <v>7679</v>
      </c>
      <c r="O410" s="96" t="s">
        <v>7463</v>
      </c>
      <c r="P410" s="96" t="s">
        <v>7465</v>
      </c>
      <c r="Q410" s="17"/>
      <c r="R410" s="55" t="s">
        <v>7396</v>
      </c>
      <c r="S410" s="17"/>
      <c r="T410" s="17"/>
      <c r="U410" s="17"/>
      <c r="V410" s="17"/>
      <c r="W410" s="54" t="s">
        <v>7184</v>
      </c>
    </row>
    <row r="411" spans="1:23" ht="26.25" hidden="1" customHeight="1">
      <c r="A411" s="17"/>
      <c r="B411" s="17"/>
      <c r="C411" s="17"/>
      <c r="D411" s="17"/>
      <c r="E411" s="20"/>
      <c r="F411" s="54" t="s">
        <v>7847</v>
      </c>
      <c r="G411" s="17"/>
      <c r="H411" s="17"/>
      <c r="I411" s="17"/>
      <c r="J411" s="17"/>
      <c r="K411" s="17"/>
      <c r="L411" s="17"/>
      <c r="M411" s="20"/>
      <c r="N411" s="99" t="s">
        <v>7511</v>
      </c>
      <c r="O411" s="96" t="s">
        <v>7464</v>
      </c>
      <c r="P411" s="96" t="s">
        <v>7492</v>
      </c>
      <c r="Q411" s="20"/>
      <c r="R411" s="172" t="s">
        <v>7398</v>
      </c>
      <c r="S411" s="47"/>
      <c r="T411" s="47"/>
      <c r="U411" s="17"/>
      <c r="V411" s="17"/>
      <c r="W411" s="54" t="s">
        <v>7246</v>
      </c>
    </row>
    <row r="412" spans="1:23" ht="26.25" hidden="1" customHeight="1">
      <c r="A412" s="17"/>
      <c r="B412" s="17"/>
      <c r="C412" s="17"/>
      <c r="D412" s="17"/>
      <c r="E412" s="17"/>
      <c r="F412" s="99" t="s">
        <v>7869</v>
      </c>
      <c r="G412" s="20"/>
      <c r="H412" s="47"/>
      <c r="I412" s="47"/>
      <c r="J412" s="47"/>
      <c r="K412" s="47"/>
      <c r="L412" s="20"/>
      <c r="M412" s="20"/>
      <c r="N412" s="96" t="s">
        <v>7691</v>
      </c>
      <c r="O412" s="96" t="s">
        <v>7469</v>
      </c>
      <c r="P412" s="54" t="s">
        <v>7506</v>
      </c>
      <c r="Q412" s="20"/>
      <c r="R412" s="54" t="s">
        <v>7439</v>
      </c>
      <c r="S412" s="17"/>
      <c r="T412" s="47"/>
      <c r="U412" s="17"/>
      <c r="V412" s="17"/>
      <c r="W412" s="54" t="s">
        <v>7247</v>
      </c>
    </row>
    <row r="413" spans="1:23" ht="26.25" hidden="1" customHeight="1">
      <c r="A413" s="17"/>
      <c r="B413" s="17"/>
      <c r="C413" s="17"/>
      <c r="D413" s="17"/>
      <c r="E413" s="17"/>
      <c r="F413" s="54" t="s">
        <v>7794</v>
      </c>
      <c r="G413" s="47"/>
      <c r="H413" s="17"/>
      <c r="I413" s="17"/>
      <c r="J413" s="17"/>
      <c r="K413" s="17"/>
      <c r="L413" s="20"/>
      <c r="M413" s="17"/>
      <c r="N413" s="54" t="s">
        <v>7693</v>
      </c>
      <c r="O413" s="96" t="s">
        <v>7545</v>
      </c>
      <c r="P413" s="96" t="s">
        <v>7528</v>
      </c>
      <c r="Q413" s="17"/>
      <c r="R413" s="54" t="s">
        <v>7450</v>
      </c>
      <c r="S413" s="47"/>
      <c r="T413" s="47"/>
      <c r="U413" s="47"/>
      <c r="V413" s="17"/>
      <c r="W413" s="54" t="s">
        <v>7303</v>
      </c>
    </row>
    <row r="414" spans="1:23" ht="26.25" hidden="1" customHeight="1">
      <c r="A414" s="17"/>
      <c r="B414" s="17"/>
      <c r="C414" s="17"/>
      <c r="D414" s="17"/>
      <c r="E414" s="17"/>
      <c r="F414" s="56"/>
      <c r="G414" s="48"/>
      <c r="H414" s="17"/>
      <c r="I414" s="17"/>
      <c r="J414" s="17"/>
      <c r="K414" s="17"/>
      <c r="L414" s="47"/>
      <c r="M414" s="47"/>
      <c r="N414" s="96" t="s">
        <v>7717</v>
      </c>
      <c r="O414" s="54" t="s">
        <v>7636</v>
      </c>
      <c r="P414" s="96" t="s">
        <v>7547</v>
      </c>
      <c r="Q414" s="20"/>
      <c r="R414" s="54" t="s">
        <v>7451</v>
      </c>
      <c r="S414" s="17"/>
      <c r="T414" s="47"/>
      <c r="U414" s="17"/>
      <c r="V414" s="17"/>
      <c r="W414" s="54" t="s">
        <v>7329</v>
      </c>
    </row>
    <row r="415" spans="1:23" ht="26.25" hidden="1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48"/>
      <c r="L415" s="20"/>
      <c r="M415" s="20"/>
      <c r="N415" s="54" t="s">
        <v>7747</v>
      </c>
      <c r="O415" s="96" t="s">
        <v>7667</v>
      </c>
      <c r="P415" s="172" t="s">
        <v>7562</v>
      </c>
      <c r="Q415" s="20"/>
      <c r="R415" s="54" t="s">
        <v>7467</v>
      </c>
      <c r="S415" s="17"/>
      <c r="T415" s="17"/>
      <c r="U415" s="17"/>
      <c r="V415" s="17"/>
      <c r="W415" s="54" t="s">
        <v>7351</v>
      </c>
    </row>
    <row r="416" spans="1:23" ht="26.25" hidden="1" customHeight="1">
      <c r="A416" s="17"/>
      <c r="B416" s="17"/>
      <c r="C416" s="17"/>
      <c r="D416" s="17"/>
      <c r="E416" s="17"/>
      <c r="F416" s="17"/>
      <c r="G416" s="48"/>
      <c r="H416" s="17"/>
      <c r="I416" s="17"/>
      <c r="J416" s="17"/>
      <c r="K416" s="17"/>
      <c r="L416" s="20"/>
      <c r="M416" s="20"/>
      <c r="N416" s="96" t="s">
        <v>7748</v>
      </c>
      <c r="O416" s="172" t="s">
        <v>7762</v>
      </c>
      <c r="P416" s="54" t="s">
        <v>7550</v>
      </c>
      <c r="Q416" s="17"/>
      <c r="R416" s="54" t="s">
        <v>7494</v>
      </c>
      <c r="S416" s="17"/>
      <c r="T416" s="17"/>
      <c r="U416" s="17"/>
      <c r="V416" s="17"/>
      <c r="W416" s="54" t="s">
        <v>7374</v>
      </c>
    </row>
    <row r="417" spans="1:23" ht="26.25" hidden="1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85"/>
      <c r="M417" s="185"/>
      <c r="N417" s="99" t="s">
        <v>7757</v>
      </c>
      <c r="O417" s="96" t="s">
        <v>7772</v>
      </c>
      <c r="P417" s="54" t="s">
        <v>7579</v>
      </c>
      <c r="Q417" s="20"/>
      <c r="R417" s="54" t="s">
        <v>7505</v>
      </c>
      <c r="S417" s="17"/>
      <c r="T417" s="17"/>
      <c r="U417" s="17"/>
      <c r="V417" s="17"/>
      <c r="W417" s="54" t="s">
        <v>7375</v>
      </c>
    </row>
    <row r="418" spans="1:23" ht="26.25" hidden="1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20"/>
      <c r="M418" s="20"/>
      <c r="N418" s="54" t="s">
        <v>7763</v>
      </c>
      <c r="O418" s="99" t="s">
        <v>7511</v>
      </c>
      <c r="P418" s="54" t="s">
        <v>7606</v>
      </c>
      <c r="Q418" s="20"/>
      <c r="R418" s="96" t="s">
        <v>7530</v>
      </c>
      <c r="S418" s="17"/>
      <c r="T418" s="17"/>
      <c r="U418" s="47"/>
      <c r="V418" s="17"/>
      <c r="W418" s="54" t="s">
        <v>7392</v>
      </c>
    </row>
    <row r="419" spans="1:23" ht="26.25" hidden="1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96" t="s">
        <v>7764</v>
      </c>
      <c r="O419" s="96" t="s">
        <v>7849</v>
      </c>
      <c r="P419" s="96" t="s">
        <v>7607</v>
      </c>
      <c r="Q419" s="20"/>
      <c r="R419" s="56" t="s">
        <v>7681</v>
      </c>
      <c r="S419" s="17"/>
      <c r="T419" s="17"/>
      <c r="U419" s="17"/>
      <c r="V419" s="17"/>
      <c r="W419" s="54" t="s">
        <v>7440</v>
      </c>
    </row>
    <row r="420" spans="1:23" ht="26.25" hidden="1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96" t="s">
        <v>7770</v>
      </c>
      <c r="O420" s="54" t="s">
        <v>7836</v>
      </c>
      <c r="P420" s="96" t="s">
        <v>7680</v>
      </c>
      <c r="Q420" s="20"/>
      <c r="R420" s="99" t="s">
        <v>7511</v>
      </c>
      <c r="S420" s="17"/>
      <c r="T420" s="17"/>
      <c r="U420" s="17"/>
      <c r="V420" s="17"/>
      <c r="W420" s="54" t="s">
        <v>7496</v>
      </c>
    </row>
    <row r="421" spans="1:23" ht="26.25" hidden="1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20"/>
      <c r="N421" s="96" t="s">
        <v>7771</v>
      </c>
      <c r="O421" s="96" t="s">
        <v>7837</v>
      </c>
      <c r="P421" s="96" t="s">
        <v>7689</v>
      </c>
      <c r="Q421" s="20"/>
      <c r="R421" s="54"/>
      <c r="S421" s="17"/>
      <c r="T421" s="17"/>
      <c r="U421" s="17"/>
      <c r="V421" s="17"/>
      <c r="W421" s="54" t="s">
        <v>7683</v>
      </c>
    </row>
    <row r="422" spans="1:23" ht="26.25" hidden="1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20"/>
      <c r="N422" s="96" t="s">
        <v>7787</v>
      </c>
      <c r="O422" s="172" t="s">
        <v>7838</v>
      </c>
      <c r="P422" s="54" t="s">
        <v>7690</v>
      </c>
      <c r="Q422" s="20"/>
      <c r="R422" s="17"/>
      <c r="S422" s="47"/>
      <c r="T422" s="47"/>
      <c r="U422" s="47"/>
      <c r="V422" s="47"/>
      <c r="W422" s="54" t="s">
        <v>7687</v>
      </c>
    </row>
    <row r="423" spans="1:23" ht="26.25" hidden="1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20"/>
      <c r="M423" s="20"/>
      <c r="N423" s="56" t="s">
        <v>7809</v>
      </c>
      <c r="O423" s="96" t="s">
        <v>7860</v>
      </c>
      <c r="P423" s="54" t="s">
        <v>7702</v>
      </c>
      <c r="Q423" s="36"/>
      <c r="R423" s="36"/>
      <c r="S423" s="17"/>
      <c r="T423" s="17"/>
      <c r="U423" s="17"/>
      <c r="V423" s="17"/>
      <c r="W423" s="54" t="s">
        <v>7688</v>
      </c>
    </row>
    <row r="424" spans="1:23" ht="26.25" hidden="1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20"/>
      <c r="M424" s="20"/>
      <c r="N424" s="54" t="s">
        <v>7810</v>
      </c>
      <c r="O424" s="54" t="s">
        <v>7873</v>
      </c>
      <c r="P424" s="54" t="s">
        <v>7718</v>
      </c>
      <c r="Q424" s="47"/>
      <c r="R424" s="47"/>
      <c r="S424" s="47"/>
      <c r="T424" s="17"/>
      <c r="U424" s="47"/>
      <c r="V424" s="47"/>
      <c r="W424" s="56" t="s">
        <v>7704</v>
      </c>
    </row>
    <row r="425" spans="1:23" ht="26.25" hidden="1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20"/>
      <c r="M425" s="20"/>
      <c r="N425" s="54" t="s">
        <v>7811</v>
      </c>
      <c r="O425" s="54"/>
      <c r="P425" s="54" t="s">
        <v>7712</v>
      </c>
      <c r="Q425" s="20"/>
      <c r="R425" s="17"/>
      <c r="S425" s="17"/>
      <c r="T425" s="17"/>
      <c r="U425" s="17"/>
      <c r="V425" s="17"/>
      <c r="W425" s="56" t="s">
        <v>7719</v>
      </c>
    </row>
    <row r="426" spans="1:23" ht="26.25" hidden="1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20"/>
      <c r="M426" s="17"/>
      <c r="N426" s="96"/>
      <c r="O426" s="17"/>
      <c r="P426" s="96" t="s">
        <v>7758</v>
      </c>
      <c r="Q426" s="20"/>
      <c r="R426" s="20"/>
      <c r="S426" s="17"/>
      <c r="T426" s="17"/>
      <c r="U426" s="17"/>
      <c r="V426" s="17"/>
      <c r="W426" s="54" t="s">
        <v>7732</v>
      </c>
    </row>
    <row r="427" spans="1:23" ht="26.25" hidden="1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96" t="s">
        <v>7827</v>
      </c>
      <c r="Q427" s="20"/>
      <c r="R427" s="20"/>
      <c r="S427" s="17"/>
      <c r="T427" s="17"/>
      <c r="U427" s="17"/>
      <c r="V427" s="17"/>
      <c r="W427" s="55" t="s">
        <v>7746</v>
      </c>
    </row>
    <row r="428" spans="1:23" ht="26.25" hidden="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20"/>
      <c r="O428" s="17"/>
      <c r="P428" s="54" t="s">
        <v>7850</v>
      </c>
      <c r="Q428" s="47"/>
      <c r="R428" s="47"/>
      <c r="S428" s="47"/>
      <c r="T428" s="17"/>
      <c r="U428" s="17"/>
      <c r="V428" s="17"/>
      <c r="W428" s="54" t="s">
        <v>7759</v>
      </c>
    </row>
    <row r="429" spans="1:23" ht="26.25" hidden="1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20"/>
      <c r="O429" s="17"/>
      <c r="P429" s="17"/>
      <c r="Q429" s="17"/>
      <c r="R429" s="17"/>
      <c r="S429" s="17"/>
      <c r="T429" s="17"/>
      <c r="U429" s="17"/>
      <c r="V429" s="17"/>
      <c r="W429" s="54" t="s">
        <v>7773</v>
      </c>
    </row>
    <row r="430" spans="1:23" ht="26.25" hidden="1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20"/>
      <c r="O430" s="20"/>
      <c r="P430" s="20"/>
      <c r="Q430" s="17"/>
      <c r="R430" s="17"/>
      <c r="S430" s="17"/>
      <c r="T430" s="17"/>
      <c r="U430" s="17"/>
      <c r="V430" s="17"/>
      <c r="W430" s="96" t="s">
        <v>7801</v>
      </c>
    </row>
    <row r="431" spans="1:23" ht="26.25" hidden="1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20"/>
      <c r="O431" s="36"/>
      <c r="P431" s="20"/>
      <c r="Q431" s="17"/>
      <c r="R431" s="47"/>
      <c r="S431" s="47"/>
      <c r="T431" s="47"/>
      <c r="U431" s="47"/>
      <c r="V431" s="17"/>
      <c r="W431" s="54" t="s">
        <v>7760</v>
      </c>
    </row>
    <row r="432" spans="1:23" ht="26.25" hidden="1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20"/>
      <c r="O432" s="17"/>
      <c r="P432" s="20"/>
      <c r="Q432" s="17"/>
      <c r="R432" s="17"/>
      <c r="S432" s="17"/>
      <c r="T432" s="17"/>
      <c r="U432" s="17"/>
      <c r="V432" s="17"/>
      <c r="W432" s="54" t="s">
        <v>7790</v>
      </c>
    </row>
    <row r="433" spans="1:23" ht="26.25" hidden="1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20"/>
      <c r="Q433" s="17"/>
      <c r="R433" s="17"/>
      <c r="S433" s="17"/>
      <c r="T433" s="17"/>
      <c r="U433" s="17"/>
      <c r="V433" s="17"/>
      <c r="W433" s="96" t="s">
        <v>7817</v>
      </c>
    </row>
    <row r="434" spans="1:23" ht="26.25" hidden="1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20"/>
      <c r="P434" s="17"/>
      <c r="Q434" s="17"/>
      <c r="R434" s="17"/>
      <c r="S434" s="17"/>
      <c r="T434" s="17"/>
      <c r="U434" s="17"/>
      <c r="V434" s="17"/>
      <c r="W434" s="96" t="s">
        <v>7828</v>
      </c>
    </row>
    <row r="435" spans="1:23" ht="26.25" hidden="1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20"/>
      <c r="P435" s="20"/>
      <c r="Q435" s="17"/>
      <c r="R435" s="17"/>
      <c r="S435" s="17"/>
      <c r="T435" s="17"/>
      <c r="U435" s="17"/>
      <c r="V435" s="17"/>
      <c r="W435" s="96" t="s">
        <v>7829</v>
      </c>
    </row>
    <row r="436" spans="1:23" ht="26.25" hidden="1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20"/>
      <c r="P436" s="20"/>
      <c r="Q436" s="17"/>
      <c r="R436" s="47"/>
      <c r="S436" s="17"/>
      <c r="T436" s="17"/>
      <c r="U436" s="17"/>
      <c r="V436" s="17"/>
      <c r="W436" s="54" t="s">
        <v>7852</v>
      </c>
    </row>
    <row r="437" spans="1:23" s="53" customFormat="1" ht="26.25" hidden="1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281"/>
      <c r="O437" s="281"/>
      <c r="P437" s="52"/>
      <c r="Q437" s="52"/>
      <c r="R437" s="52"/>
      <c r="S437" s="52"/>
      <c r="T437" s="52"/>
      <c r="U437" s="52"/>
      <c r="V437" s="52"/>
      <c r="W437" s="52"/>
    </row>
    <row r="438" spans="1:23" ht="26.25" customHeight="1">
      <c r="A438" s="54" t="s">
        <v>7917</v>
      </c>
      <c r="B438" s="56" t="s">
        <v>7889</v>
      </c>
      <c r="C438" s="56" t="s">
        <v>7888</v>
      </c>
      <c r="D438" s="172" t="s">
        <v>8420</v>
      </c>
      <c r="E438" s="96" t="s">
        <v>7859</v>
      </c>
      <c r="F438" s="56" t="s">
        <v>8085</v>
      </c>
      <c r="G438" s="54" t="s">
        <v>8528</v>
      </c>
      <c r="H438" s="56" t="s">
        <v>8171</v>
      </c>
      <c r="I438" s="56" t="s">
        <v>8108</v>
      </c>
      <c r="J438" s="56" t="s">
        <v>8046</v>
      </c>
      <c r="K438" s="56" t="s">
        <v>7927</v>
      </c>
      <c r="L438" s="54" t="s">
        <v>7878</v>
      </c>
      <c r="M438" s="54" t="s">
        <v>7881</v>
      </c>
      <c r="N438" s="96" t="s">
        <v>7816</v>
      </c>
      <c r="O438" s="54" t="s">
        <v>7876</v>
      </c>
      <c r="P438" s="54" t="s">
        <v>7973</v>
      </c>
      <c r="Q438" s="54" t="s">
        <v>8174</v>
      </c>
      <c r="R438" s="54" t="s">
        <v>8140</v>
      </c>
      <c r="S438" s="54" t="s">
        <v>8213</v>
      </c>
      <c r="T438" s="54" t="s">
        <v>7982</v>
      </c>
      <c r="U438" s="54" t="s">
        <v>7879</v>
      </c>
      <c r="V438" s="54" t="s">
        <v>7968</v>
      </c>
      <c r="W438" s="54" t="s">
        <v>7880</v>
      </c>
    </row>
    <row r="439" spans="1:23" ht="26.25" customHeight="1">
      <c r="A439" s="54" t="s">
        <v>8076</v>
      </c>
      <c r="B439" s="56" t="s">
        <v>8529</v>
      </c>
      <c r="C439" s="56" t="s">
        <v>8529</v>
      </c>
      <c r="D439" s="20" t="s">
        <v>5808</v>
      </c>
      <c r="E439" s="54" t="s">
        <v>7892</v>
      </c>
      <c r="F439" s="54" t="s">
        <v>8152</v>
      </c>
      <c r="G439" s="47" t="s">
        <v>8441</v>
      </c>
      <c r="H439" s="96" t="s">
        <v>8422</v>
      </c>
      <c r="I439" s="96" t="s">
        <v>8421</v>
      </c>
      <c r="J439" s="54" t="s">
        <v>8531</v>
      </c>
      <c r="K439" s="54" t="s">
        <v>7965</v>
      </c>
      <c r="L439" s="56" t="s">
        <v>8493</v>
      </c>
      <c r="M439" s="96" t="s">
        <v>7901</v>
      </c>
      <c r="N439" s="96" t="s">
        <v>8022</v>
      </c>
      <c r="O439" s="54" t="s">
        <v>7913</v>
      </c>
      <c r="P439" s="96" t="s">
        <v>7974</v>
      </c>
      <c r="Q439" s="55" t="s">
        <v>5808</v>
      </c>
      <c r="R439" s="54" t="s">
        <v>8167</v>
      </c>
      <c r="S439" s="54" t="s">
        <v>8291</v>
      </c>
      <c r="T439" s="99" t="s">
        <v>7996</v>
      </c>
      <c r="U439" s="54" t="s">
        <v>7966</v>
      </c>
      <c r="V439" s="173" t="s">
        <v>5600</v>
      </c>
      <c r="W439" s="54" t="s">
        <v>7872</v>
      </c>
    </row>
    <row r="440" spans="1:23" ht="26.25" customHeight="1">
      <c r="A440" s="273" t="s">
        <v>8086</v>
      </c>
      <c r="B440" s="47"/>
      <c r="C440" s="17"/>
      <c r="D440" s="47" t="s">
        <v>8281</v>
      </c>
      <c r="E440" s="54" t="s">
        <v>7912</v>
      </c>
      <c r="F440" s="96" t="s">
        <v>8204</v>
      </c>
      <c r="G440" s="17"/>
      <c r="H440" s="48" t="s">
        <v>8427</v>
      </c>
      <c r="I440" s="48" t="s">
        <v>8428</v>
      </c>
      <c r="J440" s="17" t="s">
        <v>8299</v>
      </c>
      <c r="K440" s="55" t="s">
        <v>7995</v>
      </c>
      <c r="L440" s="20" t="s">
        <v>8249</v>
      </c>
      <c r="M440" s="56" t="s">
        <v>8236</v>
      </c>
      <c r="N440" s="96" t="s">
        <v>8023</v>
      </c>
      <c r="O440" s="54" t="s">
        <v>7891</v>
      </c>
      <c r="P440" s="96" t="s">
        <v>7998</v>
      </c>
      <c r="Q440" s="54" t="s">
        <v>8206</v>
      </c>
      <c r="R440" s="54" t="s">
        <v>8234</v>
      </c>
      <c r="S440" s="54" t="s">
        <v>8495</v>
      </c>
      <c r="T440" s="55" t="s">
        <v>8005</v>
      </c>
      <c r="U440" s="56" t="s">
        <v>8062</v>
      </c>
      <c r="V440" s="96" t="s">
        <v>7997</v>
      </c>
      <c r="W440" s="55" t="s">
        <v>7921</v>
      </c>
    </row>
    <row r="441" spans="1:23" ht="26.25" customHeight="1">
      <c r="A441" s="54" t="s">
        <v>8150</v>
      </c>
      <c r="B441" s="17"/>
      <c r="C441" s="17"/>
      <c r="D441" s="48" t="s">
        <v>8243</v>
      </c>
      <c r="E441" s="54" t="s">
        <v>7918</v>
      </c>
      <c r="F441" s="96" t="s">
        <v>8339</v>
      </c>
      <c r="G441" s="17" t="s">
        <v>8351</v>
      </c>
      <c r="H441" s="17"/>
      <c r="I441" s="17"/>
      <c r="J441" s="17"/>
      <c r="K441" s="54" t="s">
        <v>8057</v>
      </c>
      <c r="L441" s="17" t="s">
        <v>8381</v>
      </c>
      <c r="M441" s="96" t="s">
        <v>8237</v>
      </c>
      <c r="N441" s="54" t="s">
        <v>8033</v>
      </c>
      <c r="O441" s="96" t="s">
        <v>7920</v>
      </c>
      <c r="P441" s="96" t="s">
        <v>8058</v>
      </c>
      <c r="Q441" s="55" t="s">
        <v>8233</v>
      </c>
      <c r="R441" s="55" t="s">
        <v>8240</v>
      </c>
      <c r="S441" s="17" t="s">
        <v>8506</v>
      </c>
      <c r="T441" s="295" t="s">
        <v>8021</v>
      </c>
      <c r="U441" s="54" t="s">
        <v>8109</v>
      </c>
      <c r="V441" s="54" t="s">
        <v>8038</v>
      </c>
      <c r="W441" s="54" t="s">
        <v>8006</v>
      </c>
    </row>
    <row r="442" spans="1:23" ht="26.25" customHeight="1">
      <c r="A442" s="17"/>
      <c r="B442" s="47"/>
      <c r="C442" s="17"/>
      <c r="D442" s="17"/>
      <c r="E442" s="54" t="s">
        <v>8032</v>
      </c>
      <c r="F442" s="96" t="s">
        <v>5604</v>
      </c>
      <c r="G442" s="17" t="s">
        <v>8514</v>
      </c>
      <c r="H442" s="17"/>
      <c r="I442" s="17"/>
      <c r="J442" s="17"/>
      <c r="K442" s="55" t="s">
        <v>8106</v>
      </c>
      <c r="L442" s="17"/>
      <c r="M442" s="17"/>
      <c r="N442" s="96" t="s">
        <v>8349</v>
      </c>
      <c r="O442" s="96" t="s">
        <v>7919</v>
      </c>
      <c r="P442" s="172" t="s">
        <v>8340</v>
      </c>
      <c r="Q442" s="99" t="s">
        <v>8222</v>
      </c>
      <c r="R442" s="54" t="s">
        <v>8341</v>
      </c>
      <c r="S442" s="17"/>
      <c r="T442" s="99" t="s">
        <v>8034</v>
      </c>
      <c r="U442" s="54" t="s">
        <v>8155</v>
      </c>
      <c r="V442" s="173" t="s">
        <v>5693</v>
      </c>
      <c r="W442" s="54" t="s">
        <v>8007</v>
      </c>
    </row>
    <row r="443" spans="1:23" ht="26.25" customHeight="1">
      <c r="A443" s="20"/>
      <c r="B443" s="185"/>
      <c r="C443" s="17"/>
      <c r="D443" s="17"/>
      <c r="E443" s="54" t="s">
        <v>8077</v>
      </c>
      <c r="F443" s="54" t="s">
        <v>8492</v>
      </c>
      <c r="G443" s="17"/>
      <c r="H443" s="17"/>
      <c r="I443" s="48"/>
      <c r="J443" s="17"/>
      <c r="K443" s="54" t="s">
        <v>8172</v>
      </c>
      <c r="L443" s="20"/>
      <c r="M443" s="17"/>
      <c r="N443" s="36" t="s">
        <v>8352</v>
      </c>
      <c r="O443" s="54" t="s">
        <v>7928</v>
      </c>
      <c r="P443" s="99" t="s">
        <v>8378</v>
      </c>
      <c r="Q443" s="99" t="s">
        <v>8277</v>
      </c>
      <c r="R443" s="56" t="s">
        <v>8315</v>
      </c>
      <c r="S443" s="17" t="s">
        <v>8505</v>
      </c>
      <c r="T443" s="55" t="s">
        <v>8044</v>
      </c>
      <c r="U443" s="96" t="s">
        <v>8176</v>
      </c>
      <c r="V443" s="55" t="s">
        <v>8041</v>
      </c>
      <c r="W443" s="96" t="s">
        <v>8035</v>
      </c>
    </row>
    <row r="444" spans="1:23" ht="26.25" customHeight="1">
      <c r="A444" s="17"/>
      <c r="B444" s="47"/>
      <c r="C444" s="17"/>
      <c r="D444" s="17"/>
      <c r="E444" s="54" t="s">
        <v>8151</v>
      </c>
      <c r="F444" s="17" t="s">
        <v>8510</v>
      </c>
      <c r="G444" s="17"/>
      <c r="H444" s="17"/>
      <c r="I444" s="17"/>
      <c r="J444" s="17" t="s">
        <v>8530</v>
      </c>
      <c r="K444" s="54" t="s">
        <v>8348</v>
      </c>
      <c r="L444" s="20"/>
      <c r="M444" s="20"/>
      <c r="N444" s="20" t="s">
        <v>8353</v>
      </c>
      <c r="O444" s="96" t="s">
        <v>7929</v>
      </c>
      <c r="P444" s="48" t="s">
        <v>8377</v>
      </c>
      <c r="Q444" s="54" t="s">
        <v>8494</v>
      </c>
      <c r="R444" s="17"/>
      <c r="S444" s="17"/>
      <c r="T444" s="55" t="s">
        <v>8045</v>
      </c>
      <c r="U444" s="54" t="s">
        <v>8235</v>
      </c>
      <c r="V444" s="55" t="s">
        <v>8042</v>
      </c>
      <c r="W444" s="96" t="s">
        <v>8036</v>
      </c>
    </row>
    <row r="445" spans="1:23" ht="26.25" customHeight="1">
      <c r="A445" s="17"/>
      <c r="B445" s="47"/>
      <c r="C445" s="17" t="s">
        <v>8380</v>
      </c>
      <c r="D445" s="17"/>
      <c r="E445" s="56" t="s">
        <v>8338</v>
      </c>
      <c r="F445" s="17" t="s">
        <v>8511</v>
      </c>
      <c r="G445" s="17"/>
      <c r="H445" s="17"/>
      <c r="I445" s="17"/>
      <c r="J445" s="17"/>
      <c r="K445" s="47" t="s">
        <v>8565</v>
      </c>
      <c r="L445" s="47"/>
      <c r="M445" s="17"/>
      <c r="N445" s="17"/>
      <c r="O445" s="54" t="s">
        <v>7930</v>
      </c>
      <c r="P445" s="20" t="s">
        <v>8401</v>
      </c>
      <c r="Q445" s="20" t="s">
        <v>8442</v>
      </c>
      <c r="R445" s="48"/>
      <c r="S445" s="17"/>
      <c r="T445" s="55" t="s">
        <v>8059</v>
      </c>
      <c r="U445" s="54" t="s">
        <v>8276</v>
      </c>
      <c r="V445" s="96" t="s">
        <v>8060</v>
      </c>
      <c r="W445" s="96" t="s">
        <v>8037</v>
      </c>
    </row>
    <row r="446" spans="1:23" ht="26.25" customHeight="1">
      <c r="A446" s="17"/>
      <c r="B446" s="20"/>
      <c r="C446" s="17"/>
      <c r="D446" s="17"/>
      <c r="E446" s="55" t="s">
        <v>8491</v>
      </c>
      <c r="F446" s="17" t="s">
        <v>8512</v>
      </c>
      <c r="G446" s="17"/>
      <c r="H446" s="17"/>
      <c r="I446" s="17"/>
      <c r="J446" s="17"/>
      <c r="K446" s="17" t="s">
        <v>8300</v>
      </c>
      <c r="L446" s="47"/>
      <c r="M446" s="17"/>
      <c r="N446" s="20" t="s">
        <v>8568</v>
      </c>
      <c r="O446" s="54" t="s">
        <v>7967</v>
      </c>
      <c r="P446" s="17"/>
      <c r="Q446" s="20"/>
      <c r="R446" s="17"/>
      <c r="S446" s="17"/>
      <c r="T446" s="54" t="s">
        <v>8137</v>
      </c>
      <c r="U446" s="317" t="s">
        <v>8423</v>
      </c>
      <c r="V446" s="99" t="s">
        <v>8079</v>
      </c>
      <c r="W446" s="54" t="s">
        <v>8043</v>
      </c>
    </row>
    <row r="447" spans="1:23" ht="26.25" customHeight="1">
      <c r="A447" s="17"/>
      <c r="B447" s="20"/>
      <c r="C447" s="17"/>
      <c r="D447" s="17"/>
      <c r="E447" s="17" t="s">
        <v>8242</v>
      </c>
      <c r="F447" s="17" t="s">
        <v>8513</v>
      </c>
      <c r="G447" s="17"/>
      <c r="H447" s="17"/>
      <c r="I447" s="17"/>
      <c r="J447" s="17"/>
      <c r="K447" s="17"/>
      <c r="L447" s="47"/>
      <c r="M447" s="17"/>
      <c r="N447" s="17"/>
      <c r="O447" s="54" t="s">
        <v>7981</v>
      </c>
      <c r="P447" s="17"/>
      <c r="Q447" s="20" t="s">
        <v>8350</v>
      </c>
      <c r="R447" s="17"/>
      <c r="S447" s="17"/>
      <c r="T447" s="55" t="s">
        <v>8154</v>
      </c>
      <c r="U447" s="48" t="s">
        <v>8425</v>
      </c>
      <c r="V447" s="54" t="s">
        <v>8098</v>
      </c>
      <c r="W447" s="96" t="s">
        <v>8061</v>
      </c>
    </row>
    <row r="448" spans="1:23" ht="26.25" customHeight="1">
      <c r="A448" s="17"/>
      <c r="B448" s="185"/>
      <c r="C448" s="17"/>
      <c r="D448" s="17"/>
      <c r="E448" s="48" t="s">
        <v>8298</v>
      </c>
      <c r="F448" s="17"/>
      <c r="G448" s="17"/>
      <c r="H448" s="17"/>
      <c r="I448" s="17"/>
      <c r="J448" s="17"/>
      <c r="K448" s="17"/>
      <c r="L448" s="47"/>
      <c r="M448" s="17"/>
      <c r="N448" s="17"/>
      <c r="O448" s="96" t="s">
        <v>8063</v>
      </c>
      <c r="P448" s="17"/>
      <c r="Q448" s="17"/>
      <c r="R448" s="17"/>
      <c r="S448" s="17"/>
      <c r="T448" s="96" t="s">
        <v>8175</v>
      </c>
      <c r="U448" s="17"/>
      <c r="V448" s="17" t="s">
        <v>8440</v>
      </c>
      <c r="W448" s="99" t="s">
        <v>8083</v>
      </c>
    </row>
    <row r="449" spans="1:23" ht="26.25" customHeight="1">
      <c r="A449" s="17"/>
      <c r="B449" s="4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2" t="s">
        <v>8078</v>
      </c>
      <c r="P449" s="17"/>
      <c r="Q449" s="17"/>
      <c r="R449" s="17"/>
      <c r="S449" s="17"/>
      <c r="T449" s="55" t="s">
        <v>8194</v>
      </c>
      <c r="U449" s="17"/>
      <c r="V449" s="17"/>
      <c r="W449" s="96" t="s">
        <v>8082</v>
      </c>
    </row>
    <row r="450" spans="1:23" ht="26.2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55" t="s">
        <v>8136</v>
      </c>
      <c r="P450" s="17"/>
      <c r="Q450" s="17"/>
      <c r="R450" s="17"/>
      <c r="S450" s="17"/>
      <c r="T450" s="54" t="s">
        <v>8278</v>
      </c>
      <c r="U450" s="17"/>
      <c r="V450" s="17"/>
      <c r="W450" s="54" t="s">
        <v>8081</v>
      </c>
    </row>
    <row r="451" spans="1:23" ht="26.25" customHeight="1">
      <c r="A451" s="17"/>
      <c r="B451" s="47"/>
      <c r="C451" s="17"/>
      <c r="D451" s="17"/>
      <c r="E451" s="17"/>
      <c r="F451" s="17"/>
      <c r="G451" s="48"/>
      <c r="H451" s="17"/>
      <c r="I451" s="17"/>
      <c r="J451" s="17"/>
      <c r="K451" s="17"/>
      <c r="L451" s="17"/>
      <c r="M451" s="17"/>
      <c r="N451" s="17"/>
      <c r="O451" s="96" t="s">
        <v>8139</v>
      </c>
      <c r="P451" s="17"/>
      <c r="Q451" s="17"/>
      <c r="R451" s="17"/>
      <c r="S451" s="17"/>
      <c r="T451" s="54" t="s">
        <v>8241</v>
      </c>
      <c r="U451" s="17"/>
      <c r="V451" s="17"/>
      <c r="W451" s="54" t="s">
        <v>8080</v>
      </c>
    </row>
    <row r="452" spans="1:23" ht="26.25" customHeight="1">
      <c r="A452" s="17"/>
      <c r="B452" s="4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55" t="s">
        <v>8153</v>
      </c>
      <c r="P452" s="17"/>
      <c r="Q452" s="17"/>
      <c r="R452" s="17"/>
      <c r="S452" s="17"/>
      <c r="T452" s="55" t="s">
        <v>8279</v>
      </c>
      <c r="U452" s="17"/>
      <c r="V452" s="17"/>
      <c r="W452" s="54" t="s">
        <v>8107</v>
      </c>
    </row>
    <row r="453" spans="1:23" ht="26.25" customHeight="1">
      <c r="A453" s="17"/>
      <c r="B453" s="20"/>
      <c r="C453" s="17"/>
      <c r="D453" s="17"/>
      <c r="E453" s="17"/>
      <c r="F453" s="17"/>
      <c r="G453" s="17" t="s">
        <v>8534</v>
      </c>
      <c r="H453" s="17"/>
      <c r="I453" s="17"/>
      <c r="J453" s="17"/>
      <c r="K453" s="17"/>
      <c r="L453" s="17"/>
      <c r="M453" s="17"/>
      <c r="N453" s="17"/>
      <c r="O453" s="55" t="s">
        <v>8173</v>
      </c>
      <c r="P453" s="17"/>
      <c r="Q453" s="17"/>
      <c r="R453" s="17"/>
      <c r="S453" s="17"/>
      <c r="T453" s="55" t="s">
        <v>8280</v>
      </c>
      <c r="U453" s="17"/>
      <c r="V453" s="17"/>
      <c r="W453" s="54" t="s">
        <v>8087</v>
      </c>
    </row>
    <row r="454" spans="1:23" ht="26.25" customHeight="1">
      <c r="A454" s="17" t="s">
        <v>8373</v>
      </c>
      <c r="B454" s="185"/>
      <c r="C454" s="185"/>
      <c r="D454" s="17"/>
      <c r="E454" s="17"/>
      <c r="F454" s="20"/>
      <c r="G454" s="17" t="s">
        <v>8532</v>
      </c>
      <c r="H454" s="20"/>
      <c r="I454" s="17"/>
      <c r="J454" s="17"/>
      <c r="K454" s="17"/>
      <c r="L454" s="17" t="s">
        <v>8384</v>
      </c>
      <c r="M454" s="17"/>
      <c r="N454" s="17"/>
      <c r="O454" s="55" t="s">
        <v>8205</v>
      </c>
      <c r="P454" s="20"/>
      <c r="Q454" s="20"/>
      <c r="R454" s="47"/>
      <c r="S454" s="17"/>
      <c r="T454" s="96" t="s">
        <v>8496</v>
      </c>
      <c r="U454" s="17"/>
      <c r="V454" s="17"/>
      <c r="W454" s="54" t="s">
        <v>8156</v>
      </c>
    </row>
    <row r="455" spans="1:23" ht="26.25" customHeight="1">
      <c r="A455" s="17"/>
      <c r="B455" s="17" t="s">
        <v>7896</v>
      </c>
      <c r="C455" s="20" t="s">
        <v>8193</v>
      </c>
      <c r="D455" s="47"/>
      <c r="E455" s="17"/>
      <c r="F455" s="17"/>
      <c r="G455" s="48"/>
      <c r="H455" s="47"/>
      <c r="I455" s="17"/>
      <c r="J455" s="17"/>
      <c r="K455" s="17"/>
      <c r="L455" s="17" t="s">
        <v>8320</v>
      </c>
      <c r="M455" s="20"/>
      <c r="N455" s="20"/>
      <c r="O455" s="172" t="s">
        <v>8209</v>
      </c>
      <c r="P455" s="17"/>
      <c r="Q455" s="17" t="s">
        <v>8386</v>
      </c>
      <c r="R455" s="17"/>
      <c r="S455" s="17"/>
      <c r="T455" s="20" t="s">
        <v>8497</v>
      </c>
      <c r="U455" s="17"/>
      <c r="V455" s="17"/>
      <c r="W455" s="96" t="s">
        <v>8207</v>
      </c>
    </row>
    <row r="456" spans="1:23" ht="26.25" customHeight="1">
      <c r="A456" s="17" t="s">
        <v>8374</v>
      </c>
      <c r="B456" s="17" t="s">
        <v>7897</v>
      </c>
      <c r="C456" s="47" t="s">
        <v>8314</v>
      </c>
      <c r="D456" s="17"/>
      <c r="E456" s="47"/>
      <c r="F456" s="17" t="s">
        <v>8317</v>
      </c>
      <c r="G456" s="17"/>
      <c r="H456" s="17"/>
      <c r="I456" s="20"/>
      <c r="J456" s="17"/>
      <c r="K456" s="17"/>
      <c r="L456" s="17" t="s">
        <v>8516</v>
      </c>
      <c r="M456" s="17"/>
      <c r="N456" s="17"/>
      <c r="O456" s="56" t="s">
        <v>8210</v>
      </c>
      <c r="P456" s="20"/>
      <c r="Q456" s="17" t="s">
        <v>8094</v>
      </c>
      <c r="R456" s="17"/>
      <c r="S456" s="17"/>
      <c r="T456" s="17" t="s">
        <v>8498</v>
      </c>
      <c r="U456" s="17"/>
      <c r="V456" s="290"/>
      <c r="W456" s="55" t="s">
        <v>8307</v>
      </c>
    </row>
    <row r="457" spans="1:23" ht="26.25" customHeight="1">
      <c r="A457" s="17" t="s">
        <v>8375</v>
      </c>
      <c r="B457" s="17" t="s">
        <v>7898</v>
      </c>
      <c r="C457" s="17"/>
      <c r="D457" s="17"/>
      <c r="E457" s="17"/>
      <c r="F457" s="17" t="s">
        <v>8515</v>
      </c>
      <c r="G457" s="17"/>
      <c r="H457" s="20"/>
      <c r="I457" s="17"/>
      <c r="J457" s="20"/>
      <c r="K457" s="17"/>
      <c r="L457" s="17"/>
      <c r="M457" s="17"/>
      <c r="N457" s="20" t="s">
        <v>8400</v>
      </c>
      <c r="O457" s="56" t="s">
        <v>8188</v>
      </c>
      <c r="P457" s="185"/>
      <c r="Q457" s="20" t="s">
        <v>8369</v>
      </c>
      <c r="R457" s="47"/>
      <c r="S457" s="17"/>
      <c r="T457" s="17" t="s">
        <v>8499</v>
      </c>
      <c r="U457" s="17"/>
      <c r="V457" s="20"/>
      <c r="W457" s="56" t="s">
        <v>8308</v>
      </c>
    </row>
    <row r="458" spans="1:23" ht="26.25" customHeight="1">
      <c r="A458" s="17" t="s">
        <v>8376</v>
      </c>
      <c r="B458" s="17" t="s">
        <v>7899</v>
      </c>
      <c r="C458" s="17"/>
      <c r="D458" s="17"/>
      <c r="E458" s="17"/>
      <c r="F458" s="17" t="s">
        <v>5808</v>
      </c>
      <c r="G458" s="17"/>
      <c r="H458" s="17"/>
      <c r="I458" s="17"/>
      <c r="J458" s="17"/>
      <c r="K458" s="47"/>
      <c r="L458" s="17"/>
      <c r="M458" s="20" t="s">
        <v>8370</v>
      </c>
      <c r="N458" s="20"/>
      <c r="O458" s="56" t="s">
        <v>8211</v>
      </c>
      <c r="P458" s="48"/>
      <c r="Q458" s="17"/>
      <c r="R458" s="17"/>
      <c r="S458" s="17"/>
      <c r="T458" s="17" t="s">
        <v>8500</v>
      </c>
      <c r="U458" s="17"/>
      <c r="V458" s="47"/>
      <c r="W458" s="56" t="s">
        <v>8342</v>
      </c>
    </row>
    <row r="459" spans="1:23" ht="26.25" customHeight="1">
      <c r="A459" s="17"/>
      <c r="B459" s="17" t="s">
        <v>7900</v>
      </c>
      <c r="C459" s="17"/>
      <c r="D459" s="17"/>
      <c r="E459" s="17" t="s">
        <v>8318</v>
      </c>
      <c r="F459" s="17" t="s">
        <v>8536</v>
      </c>
      <c r="G459" s="20"/>
      <c r="H459" s="17"/>
      <c r="I459" s="17"/>
      <c r="J459" s="17"/>
      <c r="K459" s="17"/>
      <c r="L459" s="17"/>
      <c r="M459" s="17"/>
      <c r="N459" s="20" t="s">
        <v>8368</v>
      </c>
      <c r="O459" s="172" t="s">
        <v>8232</v>
      </c>
      <c r="P459" s="17"/>
      <c r="Q459" s="17"/>
      <c r="R459" s="17"/>
      <c r="S459" s="17"/>
      <c r="T459" s="17" t="s">
        <v>8501</v>
      </c>
      <c r="U459" s="17"/>
      <c r="V459" s="17"/>
      <c r="W459" s="96" t="s">
        <v>8311</v>
      </c>
    </row>
    <row r="460" spans="1:23" ht="26.25" customHeight="1">
      <c r="A460" s="17"/>
      <c r="B460" s="17"/>
      <c r="C460" s="17"/>
      <c r="D460" s="17"/>
      <c r="E460" s="17"/>
      <c r="F460" s="17"/>
      <c r="G460" s="20"/>
      <c r="H460" s="17"/>
      <c r="I460" s="17"/>
      <c r="J460" s="17"/>
      <c r="K460" s="17"/>
      <c r="L460" s="17"/>
      <c r="M460" s="17"/>
      <c r="N460" s="20"/>
      <c r="O460" s="56" t="s">
        <v>8239</v>
      </c>
      <c r="P460" s="17"/>
      <c r="Q460" s="17"/>
      <c r="R460" s="17"/>
      <c r="S460" s="17"/>
      <c r="T460" s="48" t="s">
        <v>8424</v>
      </c>
      <c r="U460" s="17"/>
      <c r="V460" s="17" t="s">
        <v>8537</v>
      </c>
      <c r="W460" s="54" t="s">
        <v>8410</v>
      </c>
    </row>
    <row r="461" spans="1:23" ht="26.25" customHeight="1">
      <c r="A461" s="17"/>
      <c r="B461" s="17"/>
      <c r="C461" s="17"/>
      <c r="D461" s="17"/>
      <c r="E461" s="17"/>
      <c r="F461" s="17"/>
      <c r="G461" s="20"/>
      <c r="H461" s="17"/>
      <c r="I461" s="17"/>
      <c r="J461" s="17"/>
      <c r="K461" s="17"/>
      <c r="L461" s="17"/>
      <c r="M461" s="17" t="s">
        <v>8385</v>
      </c>
      <c r="N461" s="20"/>
      <c r="O461" s="96" t="s">
        <v>8409</v>
      </c>
      <c r="P461" s="17" t="s">
        <v>8383</v>
      </c>
      <c r="Q461" s="17"/>
      <c r="R461" s="48" t="s">
        <v>8444</v>
      </c>
      <c r="S461" s="17" t="s">
        <v>8372</v>
      </c>
      <c r="T461" s="17"/>
      <c r="U461" s="17"/>
      <c r="V461" s="17"/>
      <c r="W461" s="56" t="s">
        <v>8309</v>
      </c>
    </row>
    <row r="462" spans="1:23" ht="26.25" customHeight="1">
      <c r="A462" s="17"/>
      <c r="B462" s="47"/>
      <c r="C462" s="17"/>
      <c r="D462" s="17"/>
      <c r="E462" s="17"/>
      <c r="F462" s="17"/>
      <c r="G462" s="20"/>
      <c r="H462" s="17"/>
      <c r="I462" s="17"/>
      <c r="J462" s="17"/>
      <c r="K462" s="17"/>
      <c r="L462" s="17"/>
      <c r="M462" s="17"/>
      <c r="N462" s="20"/>
      <c r="O462" s="54" t="s">
        <v>8564</v>
      </c>
      <c r="P462" s="17"/>
      <c r="Q462" s="17"/>
      <c r="R462" s="17"/>
      <c r="S462" s="17" t="s">
        <v>7986</v>
      </c>
      <c r="T462" s="17"/>
      <c r="U462" s="17"/>
      <c r="V462" s="17" t="s">
        <v>8539</v>
      </c>
      <c r="W462" s="54" t="s">
        <v>8502</v>
      </c>
    </row>
    <row r="463" spans="1:23" ht="26.25" customHeight="1">
      <c r="A463" s="17"/>
      <c r="B463" s="47"/>
      <c r="C463" s="17"/>
      <c r="D463" s="17"/>
      <c r="E463" s="17" t="s">
        <v>8379</v>
      </c>
      <c r="F463" s="17"/>
      <c r="G463" s="20"/>
      <c r="H463" s="17"/>
      <c r="I463" s="17"/>
      <c r="J463" s="17"/>
      <c r="K463" s="17"/>
      <c r="L463" s="17"/>
      <c r="M463" s="17"/>
      <c r="N463" s="17"/>
      <c r="O463" s="48" t="s">
        <v>8439</v>
      </c>
      <c r="P463" s="17"/>
      <c r="Q463" s="17"/>
      <c r="R463" s="17"/>
      <c r="S463" s="17"/>
      <c r="T463" s="17"/>
      <c r="U463" s="17"/>
      <c r="V463" s="48" t="s">
        <v>8533</v>
      </c>
      <c r="W463" s="316" t="s">
        <v>8312</v>
      </c>
    </row>
    <row r="464" spans="1:23" ht="26.25" customHeight="1">
      <c r="A464" s="17"/>
      <c r="B464" s="17"/>
      <c r="C464" s="17"/>
      <c r="D464" s="17"/>
      <c r="E464" s="17"/>
      <c r="F464" s="17"/>
      <c r="G464" s="20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 t="s">
        <v>8383</v>
      </c>
      <c r="T464" s="17"/>
      <c r="U464" s="17"/>
      <c r="V464" s="17"/>
      <c r="W464" s="17" t="s">
        <v>8313</v>
      </c>
    </row>
    <row r="465" spans="1:23" ht="26.25" customHeight="1">
      <c r="A465" s="17"/>
      <c r="B465" s="17"/>
      <c r="C465" s="17"/>
      <c r="D465" s="17"/>
      <c r="E465" s="17"/>
      <c r="F465" s="17"/>
      <c r="G465" s="20"/>
      <c r="H465" s="17"/>
      <c r="I465" s="17"/>
      <c r="J465" s="17"/>
      <c r="K465" s="17"/>
      <c r="L465" s="17"/>
      <c r="M465" s="17"/>
      <c r="N465" s="17"/>
      <c r="O465" s="20"/>
      <c r="P465" s="17"/>
      <c r="Q465" s="17"/>
      <c r="R465" s="17"/>
      <c r="S465" s="17"/>
      <c r="T465" s="17"/>
      <c r="U465" s="17"/>
      <c r="V465" s="20"/>
      <c r="W465" s="17" t="s">
        <v>8310</v>
      </c>
    </row>
    <row r="466" spans="1:23" ht="26.25" customHeight="1">
      <c r="A466" s="17"/>
      <c r="B466" s="17"/>
      <c r="C466" s="17"/>
      <c r="D466" s="17"/>
      <c r="E466" s="17"/>
      <c r="F466" s="17"/>
      <c r="G466" s="20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47"/>
      <c r="U466" s="47"/>
      <c r="V466" s="17"/>
      <c r="W466" s="47" t="s">
        <v>8507</v>
      </c>
    </row>
    <row r="467" spans="1:23" ht="26.2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20"/>
      <c r="P467" s="17"/>
      <c r="Q467" s="17"/>
      <c r="R467" s="17"/>
      <c r="S467" s="17"/>
      <c r="T467" s="17"/>
      <c r="U467" s="17"/>
      <c r="V467" s="20"/>
      <c r="W467" s="47" t="s">
        <v>8508</v>
      </c>
    </row>
    <row r="468" spans="1:23" ht="26.2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 t="s">
        <v>8383</v>
      </c>
      <c r="O468" s="17"/>
      <c r="P468" s="17"/>
      <c r="Q468" s="17"/>
      <c r="R468" s="17"/>
      <c r="S468" s="17"/>
      <c r="T468" s="17"/>
      <c r="U468" s="17"/>
      <c r="V468" s="20"/>
      <c r="W468" s="47" t="s">
        <v>8509</v>
      </c>
    </row>
    <row r="469" spans="1:23" ht="26.2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20"/>
      <c r="P469" s="17"/>
      <c r="Q469" s="17"/>
      <c r="R469" s="17"/>
      <c r="S469" s="17"/>
      <c r="T469" s="17"/>
      <c r="U469" s="17"/>
      <c r="V469" s="20"/>
      <c r="W469" s="17"/>
    </row>
    <row r="470" spans="1:23" ht="26.2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20"/>
      <c r="P470" s="17"/>
      <c r="Q470" s="17"/>
      <c r="R470" s="17"/>
      <c r="S470" s="17"/>
      <c r="T470" s="17"/>
      <c r="U470" s="17"/>
      <c r="V470" s="20"/>
      <c r="W470" s="17" t="s">
        <v>8567</v>
      </c>
    </row>
    <row r="471" spans="1:23" ht="26.2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20" t="s">
        <v>8316</v>
      </c>
      <c r="P471" s="17"/>
      <c r="Q471" s="17"/>
      <c r="R471" s="17"/>
      <c r="S471" s="17"/>
      <c r="T471" s="17"/>
      <c r="U471" s="17"/>
      <c r="V471" s="20"/>
      <c r="W471" s="17" t="s">
        <v>8566</v>
      </c>
    </row>
    <row r="472" spans="1:23" ht="26.2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20" t="s">
        <v>8371</v>
      </c>
      <c r="P472" s="17"/>
      <c r="Q472" s="17"/>
      <c r="R472" s="17"/>
      <c r="S472" s="17"/>
      <c r="T472" s="17"/>
      <c r="U472" s="17"/>
      <c r="V472" s="20"/>
      <c r="W472" s="17"/>
    </row>
    <row r="473" spans="1:23" ht="26.2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20"/>
      <c r="P473" s="17"/>
      <c r="Q473" s="17"/>
      <c r="R473" s="17"/>
      <c r="S473" s="17"/>
      <c r="T473" s="17"/>
      <c r="U473" s="17"/>
      <c r="V473" s="20"/>
      <c r="W473" s="17"/>
    </row>
    <row r="474" spans="1:23" ht="26.2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20"/>
      <c r="P474" s="17"/>
      <c r="Q474" s="17"/>
      <c r="R474" s="17"/>
      <c r="S474" s="17"/>
      <c r="T474" s="17"/>
      <c r="U474" s="17"/>
      <c r="V474" s="17"/>
      <c r="W474" s="17"/>
    </row>
    <row r="475" spans="1:23" ht="26.2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</row>
    <row r="476" spans="1:23" ht="26.2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 t="s">
        <v>8382</v>
      </c>
      <c r="Q476" s="17"/>
      <c r="R476" s="17"/>
      <c r="S476" s="17"/>
      <c r="T476" s="17"/>
      <c r="U476" s="17"/>
      <c r="V476" s="17"/>
      <c r="W476" s="17"/>
    </row>
    <row r="477" spans="1:23" ht="26.2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</row>
    <row r="478" spans="1:23" ht="26.2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</row>
    <row r="479" spans="1:23" ht="26.2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</row>
    <row r="480" spans="1:23" ht="26.2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</row>
    <row r="481" spans="1:23" ht="26.2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</row>
    <row r="482" spans="1:23" ht="26.2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 t="s">
        <v>8538</v>
      </c>
    </row>
    <row r="483" spans="1:23" ht="26.2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 t="s">
        <v>8535</v>
      </c>
    </row>
    <row r="484" spans="1:23" ht="26.2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 t="s">
        <v>8238</v>
      </c>
    </row>
    <row r="485" spans="1:23" ht="26.2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 t="s">
        <v>8215</v>
      </c>
    </row>
    <row r="486" spans="1:23" ht="26.2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</row>
    <row r="487" spans="1:23" ht="26.2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 t="s">
        <v>8443</v>
      </c>
    </row>
    <row r="488" spans="1:23" ht="26.2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 t="s">
        <v>8287</v>
      </c>
    </row>
    <row r="489" spans="1:23" ht="26.2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</row>
    <row r="490" spans="1:23" ht="26.2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 t="s">
        <v>8319</v>
      </c>
    </row>
    <row r="491" spans="1:23" ht="26.2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</row>
    <row r="492" spans="1:23" ht="26.2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</row>
    <row r="493" spans="1:23" ht="26.2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</row>
    <row r="494" spans="1:23" ht="26.2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</row>
    <row r="495" spans="1:23" ht="26.2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</row>
    <row r="496" spans="1:23" ht="26.2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</row>
    <row r="497" spans="1:23" ht="26.2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</row>
    <row r="498" spans="1:23" ht="26.2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</row>
    <row r="499" spans="1:23" ht="26.2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</row>
    <row r="500" spans="1:23" ht="26.2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</row>
    <row r="501" spans="1:23" ht="26.2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</row>
    <row r="502" spans="1:23" ht="26.2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</row>
    <row r="503" spans="1:23" ht="26.2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</row>
    <row r="504" spans="1:23" ht="26.2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</row>
    <row r="505" spans="1:23" ht="26.2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</row>
    <row r="506" spans="1:23" ht="26.2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</row>
    <row r="507" spans="1:23" ht="26.2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</row>
    <row r="508" spans="1:23" ht="26.2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</row>
    <row r="509" spans="1:23" ht="26.2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</row>
    <row r="510" spans="1:23" ht="26.2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</row>
    <row r="511" spans="1:23" ht="26.2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</row>
    <row r="512" spans="1:23" ht="26.2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</row>
    <row r="513" spans="1:23" ht="26.2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</row>
    <row r="514" spans="1:23" ht="26.2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</row>
    <row r="515" spans="1:23" ht="26.2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</row>
    <row r="516" spans="1:23" ht="26.2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</row>
    <row r="517" spans="1:23" ht="26.2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</row>
    <row r="518" spans="1:23" ht="26.2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</row>
    <row r="519" spans="1:23" ht="26.2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</row>
    <row r="520" spans="1:23" ht="26.2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</row>
    <row r="521" spans="1:23" ht="26.2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</row>
    <row r="522" spans="1:23" ht="26.2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</row>
    <row r="523" spans="1:23" ht="26.2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</row>
    <row r="524" spans="1:23" ht="26.2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</row>
    <row r="525" spans="1:23" ht="26.2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</row>
    <row r="526" spans="1:23" ht="26.2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</row>
    <row r="527" spans="1:23" ht="26.2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</row>
    <row r="528" spans="1:23" ht="26.2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</row>
    <row r="529" spans="1:23" ht="26.2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</row>
    <row r="530" spans="1:23" ht="26.2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</row>
    <row r="531" spans="1:23" ht="26.2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</row>
    <row r="532" spans="1:23" ht="26.2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</row>
    <row r="533" spans="1:23" ht="26.2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</row>
    <row r="534" spans="1:23" ht="26.2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</row>
    <row r="535" spans="1:23" ht="26.2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</row>
    <row r="536" spans="1:23" ht="26.2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</row>
    <row r="537" spans="1:23" ht="26.2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</row>
    <row r="538" spans="1:23" ht="26.2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</row>
    <row r="539" spans="1:23" ht="26.2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</row>
    <row r="540" spans="1:23" ht="26.2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</row>
    <row r="541" spans="1:23" ht="26.2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</row>
    <row r="542" spans="1:23" ht="26.2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</row>
    <row r="543" spans="1:23" ht="26.2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</row>
    <row r="544" spans="1:23" ht="26.2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</row>
    <row r="545" spans="1:23" ht="26.2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</row>
    <row r="546" spans="1:23" ht="26.2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</row>
    <row r="547" spans="1:23" ht="26.2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</row>
    <row r="548" spans="1:23" ht="26.2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</row>
    <row r="549" spans="1:23" ht="26.2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</row>
    <row r="550" spans="1:23" ht="26.2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</row>
    <row r="551" spans="1:23" ht="26.2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</row>
    <row r="552" spans="1:23" ht="26.2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</row>
    <row r="553" spans="1:23" ht="26.2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</row>
    <row r="554" spans="1:23" ht="26.2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</row>
    <row r="555" spans="1:23" ht="26.2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</row>
    <row r="556" spans="1:23" ht="26.2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</row>
    <row r="557" spans="1:23" ht="26.2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</row>
    <row r="558" spans="1:23" ht="26.2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</row>
    <row r="559" spans="1:23" ht="26.2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</row>
    <row r="560" spans="1:23" ht="26.2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</row>
    <row r="561" spans="1:23" ht="26.2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</row>
    <row r="562" spans="1:23" ht="26.2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</row>
    <row r="563" spans="1:23" ht="26.2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</row>
    <row r="564" spans="1:23" ht="26.2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</row>
    <row r="565" spans="1:23" ht="26.2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</row>
    <row r="566" spans="1:23" ht="26.2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</row>
    <row r="567" spans="1:23" ht="26.2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</row>
    <row r="568" spans="1:23" ht="26.2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</row>
    <row r="569" spans="1:23" ht="26.2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</row>
    <row r="570" spans="1:23" ht="26.2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</row>
    <row r="571" spans="1:23" ht="26.2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</row>
    <row r="572" spans="1:23" ht="26.2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</row>
    <row r="573" spans="1:23" ht="26.2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</row>
    <row r="574" spans="1:23" ht="26.2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</row>
    <row r="575" spans="1:23" ht="26.2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</row>
    <row r="576" spans="1:23" ht="26.2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</row>
    <row r="577" spans="1:23" ht="26.2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</row>
    <row r="578" spans="1:23" ht="26.2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</row>
    <row r="579" spans="1:23" ht="26.2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23"/>
  <sheetViews>
    <sheetView tabSelected="1" topLeftCell="K1" zoomScale="55" zoomScaleNormal="55" workbookViewId="0">
      <pane ySplit="442" topLeftCell="A473" activePane="bottomLeft" state="frozen"/>
      <selection activeCell="E1" sqref="E1"/>
      <selection pane="bottomLeft" activeCell="O497" sqref="O497"/>
    </sheetView>
  </sheetViews>
  <sheetFormatPr defaultColWidth="9" defaultRowHeight="19.5"/>
  <cols>
    <col min="1" max="1" width="53.85546875" style="130" customWidth="1"/>
    <col min="2" max="2" width="57.42578125" style="130" customWidth="1"/>
    <col min="3" max="3" width="64.5703125" style="130" customWidth="1"/>
    <col min="4" max="4" width="68" style="130" customWidth="1"/>
    <col min="5" max="5" width="57.7109375" style="130" customWidth="1"/>
    <col min="6" max="6" width="58.140625" style="130" customWidth="1"/>
    <col min="7" max="7" width="58.7109375" style="130" customWidth="1"/>
    <col min="8" max="8" width="68.42578125" style="130" customWidth="1"/>
    <col min="9" max="9" width="68.85546875" style="130" customWidth="1"/>
    <col min="10" max="10" width="67.140625" style="130" customWidth="1"/>
    <col min="11" max="11" width="65.140625" style="130" customWidth="1"/>
    <col min="12" max="12" width="70.28515625" style="130" customWidth="1"/>
    <col min="13" max="13" width="70" style="130" customWidth="1"/>
    <col min="14" max="14" width="61.7109375" style="130" customWidth="1"/>
    <col min="15" max="15" width="66.140625" style="130" customWidth="1"/>
    <col min="16" max="16" width="69.28515625" style="130" customWidth="1"/>
    <col min="17" max="17" width="71.7109375" style="130" customWidth="1"/>
    <col min="18" max="18" width="68" style="130" customWidth="1"/>
    <col min="19" max="19" width="76.28515625" style="130" customWidth="1"/>
    <col min="20" max="20" width="75.7109375" style="130" customWidth="1"/>
    <col min="21" max="21" width="73.5703125" style="130" customWidth="1"/>
    <col min="22" max="22" width="65.140625" style="130" customWidth="1"/>
    <col min="23" max="23" width="65.85546875" style="130" customWidth="1"/>
    <col min="24" max="16384" width="9" style="102"/>
  </cols>
  <sheetData>
    <row r="1" spans="1:23" ht="46.5" customHeight="1">
      <c r="H1" s="285" t="s">
        <v>7915</v>
      </c>
      <c r="J1" s="285" t="s">
        <v>7915</v>
      </c>
      <c r="K1" s="285" t="s">
        <v>7915</v>
      </c>
      <c r="L1" s="285" t="s">
        <v>7915</v>
      </c>
      <c r="M1" s="285" t="s">
        <v>7915</v>
      </c>
      <c r="N1" s="285" t="s">
        <v>7915</v>
      </c>
      <c r="O1" s="285" t="s">
        <v>7915</v>
      </c>
      <c r="Q1" s="285" t="s">
        <v>7915</v>
      </c>
      <c r="R1" s="285" t="s">
        <v>7915</v>
      </c>
      <c r="S1" s="285" t="s">
        <v>7915</v>
      </c>
    </row>
    <row r="2" spans="1:23" s="141" customFormat="1" ht="39.75" customHeight="1">
      <c r="A2" s="140">
        <v>0</v>
      </c>
      <c r="B2" s="140">
        <v>1</v>
      </c>
      <c r="C2" s="140">
        <f>B2+1</f>
        <v>2</v>
      </c>
      <c r="D2" s="140">
        <f t="shared" ref="D2:U2" si="0">C2+1</f>
        <v>3</v>
      </c>
      <c r="E2" s="140">
        <f t="shared" si="0"/>
        <v>4</v>
      </c>
      <c r="F2" s="140">
        <f t="shared" si="0"/>
        <v>5</v>
      </c>
      <c r="G2" s="140">
        <f t="shared" si="0"/>
        <v>6</v>
      </c>
      <c r="H2" s="182">
        <v>7</v>
      </c>
      <c r="I2" s="140">
        <f t="shared" si="0"/>
        <v>8</v>
      </c>
      <c r="J2" s="140">
        <f t="shared" si="0"/>
        <v>9</v>
      </c>
      <c r="K2" s="182">
        <f t="shared" si="0"/>
        <v>10</v>
      </c>
      <c r="L2" s="182">
        <f t="shared" si="0"/>
        <v>11</v>
      </c>
      <c r="M2" s="140">
        <f>L2+1</f>
        <v>12</v>
      </c>
      <c r="N2" s="140">
        <f t="shared" si="0"/>
        <v>13</v>
      </c>
      <c r="O2" s="182">
        <f t="shared" si="0"/>
        <v>14</v>
      </c>
      <c r="P2" s="140">
        <f t="shared" si="0"/>
        <v>15</v>
      </c>
      <c r="Q2" s="140">
        <f t="shared" si="0"/>
        <v>16</v>
      </c>
      <c r="R2" s="140">
        <f t="shared" si="0"/>
        <v>17</v>
      </c>
      <c r="S2" s="182">
        <f t="shared" si="0"/>
        <v>18</v>
      </c>
      <c r="T2" s="140">
        <f t="shared" si="0"/>
        <v>19</v>
      </c>
      <c r="U2" s="140">
        <f t="shared" si="0"/>
        <v>20</v>
      </c>
      <c r="V2" s="140">
        <f>U2+1</f>
        <v>21</v>
      </c>
      <c r="W2" s="140">
        <f>V2+1</f>
        <v>22</v>
      </c>
    </row>
    <row r="3" spans="1:23" ht="26.25" hidden="1" customHeight="1">
      <c r="A3" s="104" t="s">
        <v>660</v>
      </c>
      <c r="B3" s="104" t="s">
        <v>661</v>
      </c>
      <c r="C3" s="104" t="s">
        <v>697</v>
      </c>
      <c r="D3" s="104" t="s">
        <v>654</v>
      </c>
      <c r="E3" s="105" t="s">
        <v>854</v>
      </c>
      <c r="F3" s="104" t="s">
        <v>795</v>
      </c>
      <c r="G3" s="104" t="s">
        <v>662</v>
      </c>
      <c r="H3" s="104" t="s">
        <v>666</v>
      </c>
      <c r="I3" s="104" t="s">
        <v>655</v>
      </c>
      <c r="J3" s="104" t="s">
        <v>656</v>
      </c>
      <c r="K3" s="104" t="s">
        <v>669</v>
      </c>
      <c r="L3" s="104" t="s">
        <v>755</v>
      </c>
      <c r="M3" s="104" t="s">
        <v>671</v>
      </c>
      <c r="N3" s="105" t="s">
        <v>859</v>
      </c>
      <c r="O3" s="104" t="s">
        <v>672</v>
      </c>
      <c r="P3" s="104" t="s">
        <v>786</v>
      </c>
      <c r="Q3" s="104" t="s">
        <v>673</v>
      </c>
      <c r="R3" s="104" t="s">
        <v>657</v>
      </c>
      <c r="S3" s="104" t="s">
        <v>674</v>
      </c>
      <c r="T3" s="104" t="s">
        <v>676</v>
      </c>
      <c r="U3" s="104" t="s">
        <v>680</v>
      </c>
      <c r="V3" s="104" t="s">
        <v>684</v>
      </c>
      <c r="W3" s="89"/>
    </row>
    <row r="4" spans="1:23" ht="26.25" hidden="1" customHeight="1">
      <c r="A4" s="104" t="s">
        <v>702</v>
      </c>
      <c r="B4" s="104" t="s">
        <v>693</v>
      </c>
      <c r="C4" s="106" t="s">
        <v>753</v>
      </c>
      <c r="D4" s="104" t="s">
        <v>699</v>
      </c>
      <c r="E4" s="89" t="s">
        <v>855</v>
      </c>
      <c r="F4" s="104" t="s">
        <v>796</v>
      </c>
      <c r="G4" s="104" t="s">
        <v>663</v>
      </c>
      <c r="H4" s="106" t="s">
        <v>757</v>
      </c>
      <c r="I4" s="104" t="s">
        <v>821</v>
      </c>
      <c r="J4" s="104" t="s">
        <v>668</v>
      </c>
      <c r="K4" s="104" t="s">
        <v>670</v>
      </c>
      <c r="L4" s="104" t="s">
        <v>756</v>
      </c>
      <c r="M4" s="104" t="s">
        <v>853</v>
      </c>
      <c r="N4" s="104" t="s">
        <v>918</v>
      </c>
      <c r="O4" s="105" t="s">
        <v>956</v>
      </c>
      <c r="P4" s="104" t="s">
        <v>822</v>
      </c>
      <c r="Q4" s="105" t="s">
        <v>953</v>
      </c>
      <c r="R4" s="104" t="s">
        <v>781</v>
      </c>
      <c r="S4" s="104" t="s">
        <v>675</v>
      </c>
      <c r="T4" s="104" t="s">
        <v>677</v>
      </c>
      <c r="U4" s="104" t="s">
        <v>705</v>
      </c>
      <c r="V4" s="104" t="s">
        <v>701</v>
      </c>
      <c r="W4" s="89"/>
    </row>
    <row r="5" spans="1:23" ht="26.25" hidden="1" customHeight="1">
      <c r="A5" s="104" t="s">
        <v>4031</v>
      </c>
      <c r="B5" s="104" t="s">
        <v>694</v>
      </c>
      <c r="C5" s="104" t="s">
        <v>698</v>
      </c>
      <c r="D5" s="106" t="s">
        <v>764</v>
      </c>
      <c r="E5" s="89"/>
      <c r="F5" s="104" t="s">
        <v>812</v>
      </c>
      <c r="G5" s="104" t="s">
        <v>700</v>
      </c>
      <c r="H5" s="104" t="s">
        <v>771</v>
      </c>
      <c r="I5" s="104" t="s">
        <v>837</v>
      </c>
      <c r="J5" s="104" t="s">
        <v>762</v>
      </c>
      <c r="K5" s="106" t="s">
        <v>750</v>
      </c>
      <c r="L5" s="104" t="s">
        <v>667</v>
      </c>
      <c r="M5" s="107" t="s">
        <v>917</v>
      </c>
      <c r="N5" s="108" t="s">
        <v>946</v>
      </c>
      <c r="O5" s="89"/>
      <c r="P5" s="104" t="s">
        <v>829</v>
      </c>
      <c r="Q5" s="89"/>
      <c r="R5" s="104" t="s">
        <v>4032</v>
      </c>
      <c r="S5" s="104" t="s">
        <v>806</v>
      </c>
      <c r="T5" s="104" t="s">
        <v>678</v>
      </c>
      <c r="U5" s="104" t="s">
        <v>681</v>
      </c>
      <c r="V5" s="104" t="s">
        <v>704</v>
      </c>
      <c r="W5" s="89"/>
    </row>
    <row r="6" spans="1:23" ht="26.25" hidden="1" customHeight="1">
      <c r="A6" s="104" t="s">
        <v>769</v>
      </c>
      <c r="B6" s="104" t="s">
        <v>695</v>
      </c>
      <c r="C6" s="106" t="s">
        <v>835</v>
      </c>
      <c r="D6" s="106" t="s">
        <v>751</v>
      </c>
      <c r="E6" s="89"/>
      <c r="F6" s="104" t="s">
        <v>825</v>
      </c>
      <c r="G6" s="104" t="s">
        <v>664</v>
      </c>
      <c r="H6" s="109" t="s">
        <v>772</v>
      </c>
      <c r="I6" s="104" t="s">
        <v>863</v>
      </c>
      <c r="J6" s="104" t="s">
        <v>838</v>
      </c>
      <c r="K6" s="104" t="s">
        <v>783</v>
      </c>
      <c r="L6" s="104" t="s">
        <v>765</v>
      </c>
      <c r="M6" s="89"/>
      <c r="N6" s="89"/>
      <c r="O6" s="89"/>
      <c r="P6" s="104" t="s">
        <v>830</v>
      </c>
      <c r="Q6" s="89"/>
      <c r="R6" s="104" t="s">
        <v>782</v>
      </c>
      <c r="S6" s="104" t="s">
        <v>813</v>
      </c>
      <c r="T6" s="104" t="s">
        <v>679</v>
      </c>
      <c r="U6" s="104" t="s">
        <v>682</v>
      </c>
      <c r="V6" s="104" t="s">
        <v>686</v>
      </c>
      <c r="W6" s="89"/>
    </row>
    <row r="7" spans="1:23" ht="26.25" hidden="1" customHeight="1">
      <c r="A7" s="104" t="s">
        <v>803</v>
      </c>
      <c r="B7" s="104" t="s">
        <v>696</v>
      </c>
      <c r="C7" s="104" t="s">
        <v>4033</v>
      </c>
      <c r="D7" s="106" t="s">
        <v>785</v>
      </c>
      <c r="E7" s="89"/>
      <c r="F7" s="104" t="s">
        <v>824</v>
      </c>
      <c r="G7" s="104" t="s">
        <v>665</v>
      </c>
      <c r="H7" s="109" t="s">
        <v>823</v>
      </c>
      <c r="I7" s="104" t="s">
        <v>893</v>
      </c>
      <c r="J7" s="104" t="s">
        <v>857</v>
      </c>
      <c r="K7" s="104" t="s">
        <v>790</v>
      </c>
      <c r="L7" s="104" t="s">
        <v>804</v>
      </c>
      <c r="M7" s="89"/>
      <c r="N7" s="89"/>
      <c r="O7" s="89"/>
      <c r="P7" s="104" t="s">
        <v>831</v>
      </c>
      <c r="Q7" s="89"/>
      <c r="R7" s="105" t="s">
        <v>895</v>
      </c>
      <c r="S7" s="104" t="s">
        <v>814</v>
      </c>
      <c r="T7" s="104" t="s">
        <v>770</v>
      </c>
      <c r="U7" s="104" t="s">
        <v>683</v>
      </c>
      <c r="V7" s="104" t="s">
        <v>706</v>
      </c>
      <c r="W7" s="89"/>
    </row>
    <row r="8" spans="1:23" ht="26.25" hidden="1" customHeight="1">
      <c r="A8" s="104" t="s">
        <v>807</v>
      </c>
      <c r="B8" s="106" t="s">
        <v>752</v>
      </c>
      <c r="C8" s="104" t="s">
        <v>874</v>
      </c>
      <c r="D8" s="104" t="s">
        <v>805</v>
      </c>
      <c r="E8" s="105"/>
      <c r="F8" s="104" t="s">
        <v>826</v>
      </c>
      <c r="G8" s="106" t="s">
        <v>754</v>
      </c>
      <c r="H8" s="104" t="s">
        <v>773</v>
      </c>
      <c r="I8" s="104" t="s">
        <v>916</v>
      </c>
      <c r="J8" s="104"/>
      <c r="K8" s="105"/>
      <c r="L8" s="104" t="s">
        <v>809</v>
      </c>
      <c r="M8" s="107"/>
      <c r="N8" s="104"/>
      <c r="O8" s="104"/>
      <c r="P8" s="104" t="s">
        <v>875</v>
      </c>
      <c r="Q8" s="105"/>
      <c r="R8" s="105"/>
      <c r="S8" s="104" t="s">
        <v>852</v>
      </c>
      <c r="T8" s="105"/>
      <c r="U8" s="104" t="s">
        <v>766</v>
      </c>
      <c r="V8" s="104" t="s">
        <v>703</v>
      </c>
      <c r="W8" s="104"/>
    </row>
    <row r="9" spans="1:23" ht="26.25" hidden="1" customHeight="1">
      <c r="A9" s="104" t="s">
        <v>808</v>
      </c>
      <c r="B9" s="104" t="s">
        <v>763</v>
      </c>
      <c r="C9" s="104" t="s">
        <v>901</v>
      </c>
      <c r="D9" s="104" t="s">
        <v>2122</v>
      </c>
      <c r="E9" s="89"/>
      <c r="F9" s="105"/>
      <c r="G9" s="104" t="s">
        <v>858</v>
      </c>
      <c r="H9" s="104" t="s">
        <v>836</v>
      </c>
      <c r="I9" s="104"/>
      <c r="J9" s="89"/>
      <c r="K9" s="89"/>
      <c r="L9" s="104" t="s">
        <v>834</v>
      </c>
      <c r="M9" s="89"/>
      <c r="N9" s="89"/>
      <c r="O9" s="89"/>
      <c r="P9" s="104" t="s">
        <v>904</v>
      </c>
      <c r="Q9" s="89"/>
      <c r="R9" s="89"/>
      <c r="S9" s="104" t="s">
        <v>867</v>
      </c>
      <c r="T9" s="89"/>
      <c r="U9" s="104" t="s">
        <v>768</v>
      </c>
      <c r="V9" s="104" t="s">
        <v>685</v>
      </c>
      <c r="W9" s="89"/>
    </row>
    <row r="10" spans="1:23" ht="26.25" hidden="1" customHeight="1">
      <c r="A10" s="104" t="s">
        <v>832</v>
      </c>
      <c r="B10" s="104" t="s">
        <v>784</v>
      </c>
      <c r="C10" s="104" t="s">
        <v>933</v>
      </c>
      <c r="D10" s="105"/>
      <c r="E10" s="89"/>
      <c r="F10" s="89"/>
      <c r="G10" s="104" t="e">
        <f>G9-SUM(F8:F16)</f>
        <v>#VALUE!</v>
      </c>
      <c r="H10" s="104" t="s">
        <v>864</v>
      </c>
      <c r="I10" s="89"/>
      <c r="J10" s="89"/>
      <c r="K10" s="89"/>
      <c r="L10" s="104" t="s">
        <v>810</v>
      </c>
      <c r="M10" s="89"/>
      <c r="N10" s="89"/>
      <c r="O10" s="89"/>
      <c r="P10" s="104" t="s">
        <v>932</v>
      </c>
      <c r="Q10" s="89"/>
      <c r="R10" s="89"/>
      <c r="S10" s="108" t="s">
        <v>840</v>
      </c>
      <c r="T10" s="89"/>
      <c r="U10" s="104" t="s">
        <v>791</v>
      </c>
      <c r="V10" s="104" t="s">
        <v>792</v>
      </c>
      <c r="W10" s="89"/>
    </row>
    <row r="11" spans="1:23" s="111" customFormat="1" ht="26.25" hidden="1" customHeight="1">
      <c r="A11" s="110" t="s">
        <v>891</v>
      </c>
      <c r="B11" s="110" t="s">
        <v>856</v>
      </c>
      <c r="C11" s="110" t="s">
        <v>945</v>
      </c>
      <c r="D11" s="110"/>
      <c r="E11" s="110"/>
      <c r="F11" s="110"/>
      <c r="G11" s="110" t="s">
        <v>892</v>
      </c>
      <c r="H11" s="110" t="s">
        <v>868</v>
      </c>
      <c r="I11" s="110"/>
      <c r="J11" s="110"/>
      <c r="K11" s="110"/>
      <c r="L11" s="110" t="s">
        <v>833</v>
      </c>
      <c r="M11" s="110"/>
      <c r="N11" s="110"/>
      <c r="O11" s="110"/>
      <c r="P11" s="110" t="s">
        <v>936</v>
      </c>
      <c r="Q11" s="110"/>
      <c r="R11" s="110"/>
      <c r="S11" s="110" t="s">
        <v>894</v>
      </c>
      <c r="T11" s="110"/>
      <c r="U11" s="110" t="s">
        <v>797</v>
      </c>
      <c r="V11" s="110" t="s">
        <v>861</v>
      </c>
      <c r="W11" s="110"/>
    </row>
    <row r="12" spans="1:23" ht="26.25" hidden="1" customHeight="1">
      <c r="A12" s="104" t="s">
        <v>900</v>
      </c>
      <c r="B12" s="104" t="s">
        <v>934</v>
      </c>
      <c r="C12" s="104" t="s">
        <v>4034</v>
      </c>
      <c r="D12" s="105" t="s">
        <v>972</v>
      </c>
      <c r="E12" s="105" t="s">
        <v>854</v>
      </c>
      <c r="F12" s="105" t="s">
        <v>854</v>
      </c>
      <c r="G12" s="104" t="s">
        <v>955</v>
      </c>
      <c r="H12" s="104" t="s">
        <v>902</v>
      </c>
      <c r="I12" s="104" t="s">
        <v>948</v>
      </c>
      <c r="J12" s="104" t="s">
        <v>935</v>
      </c>
      <c r="K12" s="105" t="s">
        <v>2123</v>
      </c>
      <c r="L12" s="104" t="s">
        <v>865</v>
      </c>
      <c r="M12" s="107" t="s">
        <v>917</v>
      </c>
      <c r="N12" s="104" t="s">
        <v>959</v>
      </c>
      <c r="O12" s="104" t="s">
        <v>958</v>
      </c>
      <c r="P12" s="104" t="s">
        <v>947</v>
      </c>
      <c r="Q12" s="105" t="s">
        <v>966</v>
      </c>
      <c r="R12" s="105"/>
      <c r="S12" s="104" t="s">
        <v>905</v>
      </c>
      <c r="T12" s="105"/>
      <c r="U12" s="104" t="s">
        <v>839</v>
      </c>
      <c r="V12" s="104" t="s">
        <v>841</v>
      </c>
      <c r="W12" s="104" t="s">
        <v>968</v>
      </c>
    </row>
    <row r="13" spans="1:23" ht="26.25" hidden="1" customHeight="1">
      <c r="A13" s="104" t="s">
        <v>913</v>
      </c>
      <c r="B13" s="104" t="s">
        <v>949</v>
      </c>
      <c r="C13" s="104" t="s">
        <v>1012</v>
      </c>
      <c r="D13" s="105" t="s">
        <v>1086</v>
      </c>
      <c r="E13" s="105" t="s">
        <v>973</v>
      </c>
      <c r="F13" s="105" t="s">
        <v>973</v>
      </c>
      <c r="G13" s="105" t="s">
        <v>860</v>
      </c>
      <c r="H13" s="107" t="s">
        <v>915</v>
      </c>
      <c r="I13" s="104" t="s">
        <v>1112</v>
      </c>
      <c r="J13" s="104" t="s">
        <v>978</v>
      </c>
      <c r="K13" s="105"/>
      <c r="L13" s="104" t="s">
        <v>866</v>
      </c>
      <c r="M13" s="104" t="s">
        <v>969</v>
      </c>
      <c r="N13" s="104" t="s">
        <v>4035</v>
      </c>
      <c r="O13" s="104" t="s">
        <v>961</v>
      </c>
      <c r="P13" s="104" t="s">
        <v>1043</v>
      </c>
      <c r="Q13" s="104" t="s">
        <v>962</v>
      </c>
      <c r="R13" s="89"/>
      <c r="S13" s="104" t="s">
        <v>896</v>
      </c>
      <c r="T13" s="89"/>
      <c r="U13" s="104" t="s">
        <v>811</v>
      </c>
      <c r="V13" s="105"/>
      <c r="W13" s="104" t="s">
        <v>983</v>
      </c>
    </row>
    <row r="14" spans="1:23" ht="26.25" hidden="1" customHeight="1">
      <c r="A14" s="104" t="s">
        <v>914</v>
      </c>
      <c r="B14" s="104" t="s">
        <v>1032</v>
      </c>
      <c r="C14" s="104" t="s">
        <v>1069</v>
      </c>
      <c r="D14" s="89"/>
      <c r="E14" s="89"/>
      <c r="F14" s="89"/>
      <c r="G14" s="89"/>
      <c r="H14" s="104" t="s">
        <v>903</v>
      </c>
      <c r="I14" s="104"/>
      <c r="J14" s="104" t="s">
        <v>1028</v>
      </c>
      <c r="K14" s="89"/>
      <c r="L14" s="106" t="s">
        <v>904</v>
      </c>
      <c r="M14" s="104" t="s">
        <v>982</v>
      </c>
      <c r="N14" s="104" t="s">
        <v>952</v>
      </c>
      <c r="O14" s="104" t="s">
        <v>979</v>
      </c>
      <c r="P14" s="104" t="s">
        <v>1055</v>
      </c>
      <c r="Q14" s="104" t="s">
        <v>963</v>
      </c>
      <c r="R14" s="89"/>
      <c r="S14" s="105"/>
      <c r="T14" s="89"/>
      <c r="U14" s="104" t="s">
        <v>906</v>
      </c>
      <c r="V14" s="89"/>
      <c r="W14" s="104" t="s">
        <v>1031</v>
      </c>
    </row>
    <row r="15" spans="1:23" ht="26.25" hidden="1" customHeight="1">
      <c r="A15" s="104" t="s">
        <v>873</v>
      </c>
      <c r="B15" s="104" t="s">
        <v>1068</v>
      </c>
      <c r="C15" s="104" t="s">
        <v>1094</v>
      </c>
      <c r="D15" s="89"/>
      <c r="E15" s="89"/>
      <c r="F15" s="89"/>
      <c r="G15" s="89"/>
      <c r="H15" s="104" t="s">
        <v>919</v>
      </c>
      <c r="I15" s="89"/>
      <c r="J15" s="104" t="s">
        <v>1041</v>
      </c>
      <c r="K15" s="89"/>
      <c r="L15" s="104" t="s">
        <v>888</v>
      </c>
      <c r="M15" s="104" t="s">
        <v>1038</v>
      </c>
      <c r="N15" s="104" t="s">
        <v>980</v>
      </c>
      <c r="O15" s="104" t="s">
        <v>1011</v>
      </c>
      <c r="P15" s="104" t="s">
        <v>1091</v>
      </c>
      <c r="Q15" s="104" t="s">
        <v>1030</v>
      </c>
      <c r="R15" s="89"/>
      <c r="S15" s="89"/>
      <c r="T15" s="89"/>
      <c r="U15" s="104" t="s">
        <v>957</v>
      </c>
      <c r="V15" s="89"/>
      <c r="W15" s="104" t="s">
        <v>1014</v>
      </c>
    </row>
    <row r="16" spans="1:23" ht="26.25" hidden="1" customHeight="1">
      <c r="A16" s="105"/>
      <c r="B16" s="104"/>
      <c r="C16" s="105" t="s">
        <v>1087</v>
      </c>
      <c r="D16" s="89"/>
      <c r="E16" s="89"/>
      <c r="F16" s="89"/>
      <c r="G16" s="89"/>
      <c r="H16" s="107" t="s">
        <v>1072</v>
      </c>
      <c r="I16" s="89"/>
      <c r="J16" s="104" t="s">
        <v>1095</v>
      </c>
      <c r="K16" s="89"/>
      <c r="L16" s="104" t="s">
        <v>960</v>
      </c>
      <c r="M16" s="104" t="s">
        <v>1039</v>
      </c>
      <c r="N16" s="107" t="s">
        <v>981</v>
      </c>
      <c r="O16" s="104" t="s">
        <v>1063</v>
      </c>
      <c r="P16" s="104"/>
      <c r="Q16" s="104" t="s">
        <v>1090</v>
      </c>
      <c r="R16" s="89"/>
      <c r="S16" s="89"/>
      <c r="T16" s="89"/>
      <c r="U16" s="104" t="s">
        <v>965</v>
      </c>
      <c r="V16" s="89"/>
      <c r="W16" s="104" t="s">
        <v>1067</v>
      </c>
    </row>
    <row r="17" spans="1:23" ht="26.25" hidden="1" customHeight="1">
      <c r="A17" s="89"/>
      <c r="B17" s="89"/>
      <c r="C17" s="89"/>
      <c r="D17" s="89"/>
      <c r="E17" s="89"/>
      <c r="F17" s="89"/>
      <c r="G17" s="89"/>
      <c r="H17" s="107" t="s">
        <v>1089</v>
      </c>
      <c r="I17" s="89"/>
      <c r="J17" s="104" t="s">
        <v>1102</v>
      </c>
      <c r="K17" s="89"/>
      <c r="L17" s="104" t="s">
        <v>967</v>
      </c>
      <c r="M17" s="104" t="s">
        <v>1042</v>
      </c>
      <c r="N17" s="107" t="s">
        <v>1046</v>
      </c>
      <c r="O17" s="104"/>
      <c r="P17" s="89"/>
      <c r="Q17" s="104" t="s">
        <v>1071</v>
      </c>
      <c r="R17" s="89"/>
      <c r="S17" s="89"/>
      <c r="T17" s="89"/>
      <c r="U17" s="104" t="s">
        <v>984</v>
      </c>
      <c r="V17" s="89"/>
      <c r="W17" s="104" t="s">
        <v>1066</v>
      </c>
    </row>
    <row r="18" spans="1:23" ht="26.25" hidden="1" customHeight="1">
      <c r="A18" s="89"/>
      <c r="B18" s="89"/>
      <c r="C18" s="89"/>
      <c r="D18" s="89"/>
      <c r="E18" s="89"/>
      <c r="F18" s="89"/>
      <c r="G18" s="89"/>
      <c r="H18" s="104" t="s">
        <v>1073</v>
      </c>
      <c r="I18" s="89"/>
      <c r="J18" s="104"/>
      <c r="K18" s="89"/>
      <c r="L18" s="104" t="s">
        <v>1009</v>
      </c>
      <c r="M18" s="104"/>
      <c r="N18" s="107"/>
      <c r="O18" s="89"/>
      <c r="P18" s="89"/>
      <c r="Q18" s="104" t="s">
        <v>1070</v>
      </c>
      <c r="R18" s="89"/>
      <c r="S18" s="89"/>
      <c r="T18" s="89"/>
      <c r="U18" s="104" t="s">
        <v>970</v>
      </c>
      <c r="V18" s="89"/>
      <c r="W18" s="104" t="s">
        <v>1065</v>
      </c>
    </row>
    <row r="19" spans="1:23" ht="26.25" hidden="1" customHeight="1">
      <c r="A19" s="89"/>
      <c r="B19" s="89"/>
      <c r="C19" s="89"/>
      <c r="D19" s="89"/>
      <c r="E19" s="89"/>
      <c r="F19" s="89"/>
      <c r="G19" s="89"/>
      <c r="H19" s="104"/>
      <c r="I19" s="89"/>
      <c r="J19" s="89"/>
      <c r="K19" s="89"/>
      <c r="L19" s="104" t="s">
        <v>1029</v>
      </c>
      <c r="M19" s="89"/>
      <c r="N19" s="89"/>
      <c r="O19" s="89"/>
      <c r="P19" s="89"/>
      <c r="Q19" s="104" t="s">
        <v>1076</v>
      </c>
      <c r="R19" s="89"/>
      <c r="S19" s="89"/>
      <c r="T19" s="89"/>
      <c r="U19" s="104" t="s">
        <v>971</v>
      </c>
      <c r="V19" s="89"/>
      <c r="W19" s="104" t="s">
        <v>1064</v>
      </c>
    </row>
    <row r="20" spans="1:23" ht="26.25" hidden="1" customHeight="1">
      <c r="A20" s="89"/>
      <c r="B20" s="89"/>
      <c r="C20" s="89"/>
      <c r="D20" s="89"/>
      <c r="E20" s="89"/>
      <c r="F20" s="89"/>
      <c r="G20" s="89"/>
      <c r="H20" s="112"/>
      <c r="I20" s="89"/>
      <c r="J20" s="89"/>
      <c r="K20" s="89"/>
      <c r="L20" s="104" t="s">
        <v>1010</v>
      </c>
      <c r="M20" s="89"/>
      <c r="N20" s="89"/>
      <c r="O20" s="89"/>
      <c r="P20" s="89"/>
      <c r="Q20" s="104" t="s">
        <v>1077</v>
      </c>
      <c r="R20" s="89"/>
      <c r="S20" s="89"/>
      <c r="T20" s="89"/>
      <c r="U20" s="104" t="s">
        <v>1040</v>
      </c>
      <c r="V20" s="89"/>
      <c r="W20" s="104" t="s">
        <v>1093</v>
      </c>
    </row>
    <row r="21" spans="1:23" ht="26.25" hidden="1" customHeight="1">
      <c r="A21" s="89"/>
      <c r="B21" s="89"/>
      <c r="C21" s="89"/>
      <c r="D21" s="89"/>
      <c r="E21" s="89"/>
      <c r="F21" s="89"/>
      <c r="G21" s="89"/>
      <c r="H21" s="112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</row>
    <row r="22" spans="1:23" ht="26.25" hidden="1" customHeight="1">
      <c r="A22" s="89"/>
      <c r="B22" s="89"/>
      <c r="C22" s="89"/>
      <c r="D22" s="89"/>
      <c r="E22" s="89"/>
      <c r="F22" s="89"/>
      <c r="G22" s="89"/>
      <c r="H22" s="112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</row>
    <row r="23" spans="1:23" ht="26.25" hidden="1" customHeight="1">
      <c r="A23" s="89"/>
      <c r="B23" s="89"/>
      <c r="C23" s="89"/>
      <c r="D23" s="89"/>
      <c r="E23" s="89"/>
      <c r="F23" s="89"/>
      <c r="G23" s="89"/>
      <c r="H23" s="112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</row>
    <row r="24" spans="1:23" ht="26.25" hidden="1" customHeight="1">
      <c r="A24" s="89"/>
      <c r="B24" s="89"/>
      <c r="C24" s="89"/>
      <c r="D24" s="89"/>
      <c r="E24" s="89"/>
      <c r="F24" s="89"/>
      <c r="G24" s="89"/>
      <c r="H24" s="112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</row>
    <row r="25" spans="1:23" ht="26.25" hidden="1" customHeight="1">
      <c r="A25" s="89"/>
      <c r="B25" s="89"/>
      <c r="C25" s="89"/>
      <c r="D25" s="89"/>
      <c r="E25" s="89"/>
      <c r="F25" s="89"/>
      <c r="G25" s="89"/>
      <c r="H25" s="112"/>
      <c r="I25" s="89"/>
      <c r="J25" s="89"/>
      <c r="K25" s="89"/>
      <c r="L25" s="104" t="s">
        <v>1056</v>
      </c>
      <c r="M25" s="89"/>
      <c r="N25" s="89"/>
      <c r="O25" s="89"/>
      <c r="P25" s="89"/>
      <c r="Q25" s="104" t="s">
        <v>1078</v>
      </c>
      <c r="R25" s="89"/>
      <c r="S25" s="89"/>
      <c r="T25" s="89"/>
      <c r="U25" s="104" t="s">
        <v>1013</v>
      </c>
      <c r="V25" s="89"/>
      <c r="W25" s="104" t="s">
        <v>1101</v>
      </c>
    </row>
    <row r="26" spans="1:23" ht="26.25" hidden="1" customHeight="1">
      <c r="A26" s="89"/>
      <c r="B26" s="89"/>
      <c r="C26" s="89"/>
      <c r="D26" s="89"/>
      <c r="E26" s="89"/>
      <c r="F26" s="89"/>
      <c r="G26" s="89"/>
      <c r="H26" s="112"/>
      <c r="I26" s="89"/>
      <c r="J26" s="89"/>
      <c r="K26" s="89"/>
      <c r="L26" s="104" t="s">
        <v>1062</v>
      </c>
      <c r="M26" s="89"/>
      <c r="N26" s="89"/>
      <c r="O26" s="89"/>
      <c r="P26" s="89"/>
      <c r="Q26" s="104" t="s">
        <v>1079</v>
      </c>
      <c r="R26" s="89"/>
      <c r="S26" s="89"/>
      <c r="T26" s="89"/>
      <c r="U26" s="104" t="s">
        <v>1057</v>
      </c>
      <c r="V26" s="89"/>
      <c r="W26" s="89"/>
    </row>
    <row r="27" spans="1:23" ht="26.25" hidden="1" customHeight="1">
      <c r="A27" s="89"/>
      <c r="B27" s="89"/>
      <c r="C27" s="89"/>
      <c r="D27" s="89"/>
      <c r="E27" s="89"/>
      <c r="F27" s="89"/>
      <c r="G27" s="89"/>
      <c r="H27" s="112"/>
      <c r="I27" s="89"/>
      <c r="J27" s="89"/>
      <c r="K27" s="89"/>
      <c r="L27" s="104" t="s">
        <v>1074</v>
      </c>
      <c r="M27" s="89"/>
      <c r="N27" s="89"/>
      <c r="O27" s="89"/>
      <c r="P27" s="89"/>
      <c r="Q27" s="104"/>
      <c r="R27" s="89"/>
      <c r="S27" s="89"/>
      <c r="T27" s="89"/>
      <c r="U27" s="104" t="s">
        <v>1058</v>
      </c>
      <c r="V27" s="89"/>
      <c r="W27" s="89"/>
    </row>
    <row r="28" spans="1:23" ht="26.25" hidden="1" customHeight="1">
      <c r="A28" s="89"/>
      <c r="B28" s="89"/>
      <c r="C28" s="89"/>
      <c r="D28" s="89"/>
      <c r="E28" s="89"/>
      <c r="F28" s="89"/>
      <c r="G28" s="89"/>
      <c r="H28" s="112"/>
      <c r="I28" s="89"/>
      <c r="J28" s="89"/>
      <c r="K28" s="89"/>
      <c r="L28" s="104" t="s">
        <v>1075</v>
      </c>
      <c r="M28" s="89"/>
      <c r="N28" s="89"/>
      <c r="O28" s="89"/>
      <c r="P28" s="89"/>
      <c r="Q28" s="89"/>
      <c r="R28" s="89"/>
      <c r="S28" s="89"/>
      <c r="T28" s="89"/>
      <c r="U28" s="104" t="s">
        <v>1088</v>
      </c>
      <c r="V28" s="89"/>
      <c r="W28" s="89"/>
    </row>
    <row r="29" spans="1:23" s="111" customFormat="1" ht="26.25" hidden="1" customHeight="1">
      <c r="A29" s="110"/>
      <c r="B29" s="110"/>
      <c r="C29" s="110"/>
      <c r="D29" s="110"/>
      <c r="E29" s="110"/>
      <c r="F29" s="110"/>
      <c r="G29" s="110"/>
      <c r="H29" s="113"/>
      <c r="I29" s="110"/>
      <c r="J29" s="110"/>
      <c r="K29" s="110"/>
      <c r="L29" s="110" t="s">
        <v>1096</v>
      </c>
      <c r="M29" s="110"/>
      <c r="N29" s="110"/>
      <c r="O29" s="110"/>
      <c r="P29" s="110"/>
      <c r="Q29" s="110"/>
      <c r="R29" s="110"/>
      <c r="S29" s="110"/>
      <c r="T29" s="110"/>
      <c r="U29" s="110" t="s">
        <v>1098</v>
      </c>
      <c r="V29" s="110"/>
      <c r="W29" s="110"/>
    </row>
    <row r="30" spans="1:23" ht="26.25" hidden="1" customHeight="1">
      <c r="A30" s="105"/>
      <c r="B30" s="104" t="s">
        <v>1099</v>
      </c>
      <c r="C30" s="105" t="s">
        <v>1264</v>
      </c>
      <c r="D30" s="105" t="s">
        <v>1239</v>
      </c>
      <c r="E30" s="105" t="s">
        <v>1199</v>
      </c>
      <c r="F30" s="105" t="s">
        <v>1199</v>
      </c>
      <c r="G30" s="105"/>
      <c r="H30" s="104" t="s">
        <v>1129</v>
      </c>
      <c r="I30" s="104" t="s">
        <v>1130</v>
      </c>
      <c r="J30" s="104" t="s">
        <v>4036</v>
      </c>
      <c r="K30" s="105" t="s">
        <v>1262</v>
      </c>
      <c r="L30" s="104" t="s">
        <v>1121</v>
      </c>
      <c r="M30" s="104" t="s">
        <v>1120</v>
      </c>
      <c r="N30" s="107" t="s">
        <v>1150</v>
      </c>
      <c r="O30" s="104" t="s">
        <v>1307</v>
      </c>
      <c r="P30" s="104" t="s">
        <v>1100</v>
      </c>
      <c r="Q30" s="104" t="s">
        <v>1155</v>
      </c>
      <c r="R30" s="104" t="s">
        <v>1146</v>
      </c>
      <c r="S30" s="105" t="s">
        <v>1254</v>
      </c>
      <c r="T30" s="105" t="s">
        <v>1282</v>
      </c>
      <c r="U30" s="104" t="s">
        <v>1092</v>
      </c>
      <c r="V30" s="105" t="s">
        <v>1297</v>
      </c>
      <c r="W30" s="104" t="s">
        <v>1097</v>
      </c>
    </row>
    <row r="31" spans="1:23" ht="26.25" hidden="1" customHeight="1">
      <c r="A31" s="89"/>
      <c r="B31" s="104" t="s">
        <v>1151</v>
      </c>
      <c r="C31" s="105"/>
      <c r="D31" s="105" t="s">
        <v>1301</v>
      </c>
      <c r="E31" s="105" t="s">
        <v>1270</v>
      </c>
      <c r="F31" s="104" t="s">
        <v>1213</v>
      </c>
      <c r="G31" s="89"/>
      <c r="H31" s="104" t="s">
        <v>1149</v>
      </c>
      <c r="I31" s="104" t="s">
        <v>1161</v>
      </c>
      <c r="J31" s="107" t="s">
        <v>1122</v>
      </c>
      <c r="K31" s="105" t="s">
        <v>1263</v>
      </c>
      <c r="L31" s="104" t="s">
        <v>1141</v>
      </c>
      <c r="M31" s="104" t="s">
        <v>1134</v>
      </c>
      <c r="N31" s="104" t="s">
        <v>1180</v>
      </c>
      <c r="O31" s="104" t="s">
        <v>1159</v>
      </c>
      <c r="P31" s="104" t="s">
        <v>1140</v>
      </c>
      <c r="Q31" s="104" t="s">
        <v>1283</v>
      </c>
      <c r="R31" s="104" t="s">
        <v>1261</v>
      </c>
      <c r="S31" s="104"/>
      <c r="T31" s="104" t="s">
        <v>1327</v>
      </c>
      <c r="U31" s="105" t="s">
        <v>1255</v>
      </c>
      <c r="V31" s="104" t="s">
        <v>1317</v>
      </c>
      <c r="W31" s="104" t="s">
        <v>1137</v>
      </c>
    </row>
    <row r="32" spans="1:23" ht="26.25" hidden="1" customHeight="1">
      <c r="A32" s="89"/>
      <c r="B32" s="104" t="s">
        <v>1158</v>
      </c>
      <c r="C32" s="89"/>
      <c r="D32" s="105"/>
      <c r="E32" s="105"/>
      <c r="F32" s="104" t="s">
        <v>1271</v>
      </c>
      <c r="G32" s="89"/>
      <c r="H32" s="104" t="s">
        <v>1251</v>
      </c>
      <c r="I32" s="104" t="s">
        <v>1165</v>
      </c>
      <c r="J32" s="107" t="s">
        <v>1186</v>
      </c>
      <c r="K32" s="105"/>
      <c r="L32" s="106" t="s">
        <v>1142</v>
      </c>
      <c r="M32" s="104" t="s">
        <v>1292</v>
      </c>
      <c r="N32" s="104" t="s">
        <v>1182</v>
      </c>
      <c r="O32" s="104" t="s">
        <v>1174</v>
      </c>
      <c r="P32" s="104" t="s">
        <v>1148</v>
      </c>
      <c r="Q32" s="104" t="s">
        <v>1318</v>
      </c>
      <c r="R32" s="109" t="s">
        <v>1274</v>
      </c>
      <c r="S32" s="89"/>
      <c r="T32" s="104" t="s">
        <v>1337</v>
      </c>
      <c r="U32" s="104" t="s">
        <v>1320</v>
      </c>
      <c r="V32" s="104" t="s">
        <v>1365</v>
      </c>
      <c r="W32" s="104" t="s">
        <v>1147</v>
      </c>
    </row>
    <row r="33" spans="1:23" ht="26.25" hidden="1" customHeight="1">
      <c r="A33" s="89"/>
      <c r="B33" s="104" t="s">
        <v>1170</v>
      </c>
      <c r="C33" s="89"/>
      <c r="D33" s="89"/>
      <c r="E33" s="89"/>
      <c r="F33" s="105"/>
      <c r="G33" s="89"/>
      <c r="H33" s="114" t="s">
        <v>1252</v>
      </c>
      <c r="I33" s="104" t="s">
        <v>1173</v>
      </c>
      <c r="J33" s="104" t="s">
        <v>1236</v>
      </c>
      <c r="K33" s="89"/>
      <c r="L33" s="104" t="s">
        <v>1169</v>
      </c>
      <c r="M33" s="104" t="s">
        <v>1340</v>
      </c>
      <c r="N33" s="104" t="s">
        <v>1229</v>
      </c>
      <c r="O33" s="104" t="s">
        <v>1187</v>
      </c>
      <c r="P33" s="104" t="s">
        <v>1160</v>
      </c>
      <c r="Q33" s="104" t="s">
        <v>1319</v>
      </c>
      <c r="R33" s="104" t="s">
        <v>1344</v>
      </c>
      <c r="S33" s="89"/>
      <c r="T33" s="104" t="s">
        <v>1338</v>
      </c>
      <c r="U33" s="104"/>
      <c r="V33" s="89"/>
      <c r="W33" s="104" t="s">
        <v>1175</v>
      </c>
    </row>
    <row r="34" spans="1:23" ht="26.25" hidden="1" customHeight="1">
      <c r="A34" s="89"/>
      <c r="B34" s="104" t="s">
        <v>1171</v>
      </c>
      <c r="C34" s="89"/>
      <c r="D34" s="89"/>
      <c r="E34" s="89"/>
      <c r="F34" s="89"/>
      <c r="G34" s="89"/>
      <c r="H34" s="107" t="s">
        <v>1279</v>
      </c>
      <c r="I34" s="105"/>
      <c r="J34" s="104" t="s">
        <v>1273</v>
      </c>
      <c r="K34" s="89"/>
      <c r="L34" s="104" t="s">
        <v>1238</v>
      </c>
      <c r="M34" s="104" t="s">
        <v>1362</v>
      </c>
      <c r="N34" s="109" t="s">
        <v>1343</v>
      </c>
      <c r="O34" s="104" t="s">
        <v>1281</v>
      </c>
      <c r="P34" s="104" t="s">
        <v>1321</v>
      </c>
      <c r="Q34" s="104" t="s">
        <v>1339</v>
      </c>
      <c r="R34" s="104" t="s">
        <v>1345</v>
      </c>
      <c r="S34" s="89"/>
      <c r="T34" s="104" t="s">
        <v>1355</v>
      </c>
      <c r="U34" s="89"/>
      <c r="V34" s="89"/>
      <c r="W34" s="104" t="s">
        <v>1181</v>
      </c>
    </row>
    <row r="35" spans="1:23" ht="26.25" hidden="1" customHeight="1">
      <c r="A35" s="89"/>
      <c r="B35" s="109" t="s">
        <v>1185</v>
      </c>
      <c r="C35" s="89"/>
      <c r="D35" s="89"/>
      <c r="E35" s="89"/>
      <c r="F35" s="89"/>
      <c r="G35" s="89"/>
      <c r="H35" s="114" t="s">
        <v>1272</v>
      </c>
      <c r="I35" s="89"/>
      <c r="J35" s="107" t="s">
        <v>1315</v>
      </c>
      <c r="K35" s="89"/>
      <c r="L35" s="104" t="s">
        <v>1230</v>
      </c>
      <c r="M35" s="104"/>
      <c r="N35" s="104" t="s">
        <v>1341</v>
      </c>
      <c r="O35" s="104" t="s">
        <v>1342</v>
      </c>
      <c r="P35" s="104" t="s">
        <v>1306</v>
      </c>
      <c r="Q35" s="104"/>
      <c r="R35" s="104"/>
      <c r="S35" s="89"/>
      <c r="T35" s="104"/>
      <c r="U35" s="89"/>
      <c r="V35" s="89"/>
      <c r="W35" s="104" t="s">
        <v>1189</v>
      </c>
    </row>
    <row r="36" spans="1:23" ht="26.25" hidden="1" customHeight="1">
      <c r="A36" s="89"/>
      <c r="B36" s="104" t="s">
        <v>1172</v>
      </c>
      <c r="C36" s="89"/>
      <c r="D36" s="89"/>
      <c r="E36" s="89"/>
      <c r="F36" s="89"/>
      <c r="G36" s="89"/>
      <c r="H36" s="114" t="s">
        <v>1291</v>
      </c>
      <c r="I36" s="89"/>
      <c r="J36" s="115"/>
      <c r="K36" s="89"/>
      <c r="L36" s="104" t="s">
        <v>1316</v>
      </c>
      <c r="M36" s="89"/>
      <c r="N36" s="105"/>
      <c r="O36" s="104" t="s">
        <v>1346</v>
      </c>
      <c r="P36" s="104" t="s">
        <v>1347</v>
      </c>
      <c r="Q36" s="89"/>
      <c r="R36" s="89"/>
      <c r="S36" s="89"/>
      <c r="T36" s="89"/>
      <c r="U36" s="89"/>
      <c r="V36" s="89"/>
      <c r="W36" s="109" t="s">
        <v>1188</v>
      </c>
    </row>
    <row r="37" spans="1:23" ht="26.25" hidden="1" customHeight="1">
      <c r="A37" s="89"/>
      <c r="B37" s="104" t="s">
        <v>1202</v>
      </c>
      <c r="C37" s="89"/>
      <c r="D37" s="89"/>
      <c r="E37" s="89"/>
      <c r="F37" s="89"/>
      <c r="G37" s="89"/>
      <c r="H37" s="114" t="s">
        <v>1305</v>
      </c>
      <c r="I37" s="89"/>
      <c r="J37" s="89"/>
      <c r="K37" s="89"/>
      <c r="L37" s="105"/>
      <c r="M37" s="89"/>
      <c r="N37" s="89"/>
      <c r="O37" s="105"/>
      <c r="P37" s="90" t="s">
        <v>1356</v>
      </c>
      <c r="Q37" s="89"/>
      <c r="R37" s="89"/>
      <c r="S37" s="89"/>
      <c r="T37" s="89"/>
      <c r="U37" s="89"/>
      <c r="V37" s="89"/>
      <c r="W37" s="109" t="s">
        <v>1197</v>
      </c>
    </row>
    <row r="38" spans="1:23" ht="26.25" hidden="1" customHeight="1">
      <c r="A38" s="89"/>
      <c r="B38" s="109" t="s">
        <v>1208</v>
      </c>
      <c r="C38" s="89"/>
      <c r="D38" s="89"/>
      <c r="E38" s="89"/>
      <c r="F38" s="89"/>
      <c r="G38" s="89"/>
      <c r="H38" s="107" t="s">
        <v>1314</v>
      </c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104" t="s">
        <v>1200</v>
      </c>
    </row>
    <row r="39" spans="1:23" ht="26.25" hidden="1" customHeight="1">
      <c r="A39" s="89"/>
      <c r="B39" s="109" t="s">
        <v>1218</v>
      </c>
      <c r="C39" s="89"/>
      <c r="D39" s="89"/>
      <c r="E39" s="89"/>
      <c r="F39" s="89"/>
      <c r="G39" s="89"/>
      <c r="H39" s="107" t="s">
        <v>1280</v>
      </c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104" t="s">
        <v>1201</v>
      </c>
    </row>
    <row r="40" spans="1:23" ht="26.25" hidden="1" customHeight="1">
      <c r="A40" s="89"/>
      <c r="B40" s="104" t="s">
        <v>1235</v>
      </c>
      <c r="C40" s="89"/>
      <c r="D40" s="89"/>
      <c r="E40" s="89"/>
      <c r="F40" s="89"/>
      <c r="G40" s="89"/>
      <c r="H40" s="104" t="s">
        <v>1336</v>
      </c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109" t="s">
        <v>1209</v>
      </c>
    </row>
    <row r="41" spans="1:23" ht="26.25" hidden="1" customHeight="1">
      <c r="A41" s="89"/>
      <c r="B41" s="109" t="s">
        <v>1328</v>
      </c>
      <c r="C41" s="116"/>
      <c r="D41" s="89"/>
      <c r="E41" s="89"/>
      <c r="F41" s="89"/>
      <c r="G41" s="89"/>
      <c r="H41" s="107" t="s">
        <v>1361</v>
      </c>
      <c r="I41" s="89"/>
      <c r="J41" s="89"/>
      <c r="K41" s="89"/>
      <c r="L41" s="89"/>
      <c r="M41" s="89"/>
      <c r="N41" s="89"/>
      <c r="O41" s="116"/>
      <c r="P41" s="89"/>
      <c r="Q41" s="89"/>
      <c r="R41" s="89"/>
      <c r="S41" s="89"/>
      <c r="T41" s="89"/>
      <c r="U41" s="89"/>
      <c r="V41" s="89"/>
      <c r="W41" s="104" t="s">
        <v>1219</v>
      </c>
    </row>
    <row r="42" spans="1:23" ht="26.25" hidden="1" customHeight="1">
      <c r="A42" s="89"/>
      <c r="B42" s="104" t="s">
        <v>1349</v>
      </c>
      <c r="C42" s="89"/>
      <c r="D42" s="89"/>
      <c r="E42" s="89"/>
      <c r="F42" s="89"/>
      <c r="G42" s="89"/>
      <c r="H42" s="107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104" t="s">
        <v>1228</v>
      </c>
    </row>
    <row r="43" spans="1:23" ht="26.25" hidden="1" customHeight="1">
      <c r="A43" s="89"/>
      <c r="B43" s="107"/>
      <c r="C43" s="103"/>
      <c r="D43" s="89"/>
      <c r="E43" s="89"/>
      <c r="F43" s="89"/>
      <c r="G43" s="89"/>
      <c r="H43" s="112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104" t="s">
        <v>1253</v>
      </c>
    </row>
    <row r="44" spans="1:23" ht="26.25" hidden="1" customHeight="1">
      <c r="A44" s="89"/>
      <c r="B44" s="89"/>
      <c r="C44" s="89"/>
      <c r="D44" s="89"/>
      <c r="E44" s="89"/>
      <c r="F44" s="89"/>
      <c r="G44" s="89"/>
      <c r="H44" s="112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104" t="s">
        <v>1256</v>
      </c>
    </row>
    <row r="45" spans="1:23" ht="26.25" hidden="1" customHeight="1">
      <c r="A45" s="89"/>
      <c r="B45" s="89"/>
      <c r="C45" s="89"/>
      <c r="D45" s="89"/>
      <c r="E45" s="89"/>
      <c r="F45" s="89"/>
      <c r="G45" s="89"/>
      <c r="H45" s="112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107" t="s">
        <v>1257</v>
      </c>
    </row>
    <row r="46" spans="1:23" ht="26.25" hidden="1" customHeight="1">
      <c r="A46" s="89"/>
      <c r="B46" s="89"/>
      <c r="C46" s="89"/>
      <c r="D46" s="89"/>
      <c r="E46" s="89"/>
      <c r="F46" s="89"/>
      <c r="G46" s="89"/>
      <c r="H46" s="112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104" t="s">
        <v>1275</v>
      </c>
    </row>
    <row r="47" spans="1:23" ht="26.25" hidden="1" customHeight="1">
      <c r="A47" s="89"/>
      <c r="B47" s="89"/>
      <c r="C47" s="89"/>
      <c r="D47" s="89"/>
      <c r="E47" s="89"/>
      <c r="F47" s="89"/>
      <c r="G47" s="89"/>
      <c r="H47" s="112"/>
      <c r="I47" s="89"/>
      <c r="J47" s="89"/>
      <c r="K47" s="89"/>
      <c r="L47" s="89"/>
      <c r="M47" s="89"/>
      <c r="N47" s="89"/>
      <c r="O47" s="89"/>
      <c r="P47" s="117"/>
      <c r="Q47" s="88"/>
      <c r="R47" s="89"/>
      <c r="S47" s="89"/>
      <c r="T47" s="89"/>
      <c r="U47" s="89"/>
      <c r="V47" s="89"/>
      <c r="W47" s="104" t="s">
        <v>1293</v>
      </c>
    </row>
    <row r="48" spans="1:23" s="122" customFormat="1" ht="26.25" hidden="1" customHeight="1">
      <c r="A48" s="118"/>
      <c r="B48" s="118"/>
      <c r="C48" s="118"/>
      <c r="D48" s="118"/>
      <c r="E48" s="118"/>
      <c r="F48" s="118"/>
      <c r="G48" s="118"/>
      <c r="H48" s="119"/>
      <c r="I48" s="118"/>
      <c r="J48" s="118"/>
      <c r="K48" s="118"/>
      <c r="L48" s="118"/>
      <c r="M48" s="118"/>
      <c r="N48" s="118"/>
      <c r="O48" s="118"/>
      <c r="P48" s="120"/>
      <c r="Q48" s="121"/>
      <c r="R48" s="118"/>
      <c r="S48" s="118"/>
      <c r="T48" s="118"/>
      <c r="U48" s="118"/>
      <c r="V48" s="118"/>
      <c r="W48" s="118" t="s">
        <v>1313</v>
      </c>
    </row>
    <row r="49" spans="1:23" ht="26.25" hidden="1" customHeight="1">
      <c r="A49" s="105"/>
      <c r="B49" s="107"/>
      <c r="C49" s="105"/>
      <c r="D49" s="105"/>
      <c r="E49" s="105"/>
      <c r="F49" s="105"/>
      <c r="G49" s="105"/>
      <c r="H49" s="107"/>
      <c r="I49" s="105"/>
      <c r="J49" s="105"/>
      <c r="K49" s="105"/>
      <c r="L49" s="105"/>
      <c r="M49" s="104"/>
      <c r="N49" s="105"/>
      <c r="O49" s="105"/>
      <c r="P49" s="90"/>
      <c r="Q49" s="104"/>
      <c r="R49" s="104"/>
      <c r="S49" s="104"/>
      <c r="T49" s="104"/>
      <c r="U49" s="104"/>
      <c r="V49" s="89"/>
      <c r="W49" s="104" t="s">
        <v>1334</v>
      </c>
    </row>
    <row r="50" spans="1:23" ht="26.25" hidden="1" customHeight="1">
      <c r="A50" s="89"/>
      <c r="B50" s="89"/>
      <c r="C50" s="89"/>
      <c r="D50" s="89"/>
      <c r="E50" s="89"/>
      <c r="F50" s="89"/>
      <c r="G50" s="89"/>
      <c r="H50" s="112"/>
      <c r="I50" s="89"/>
      <c r="J50" s="89"/>
      <c r="K50" s="89"/>
      <c r="L50" s="89"/>
      <c r="M50" s="89"/>
      <c r="N50" s="89"/>
      <c r="O50" s="89"/>
      <c r="P50" s="123"/>
      <c r="Q50" s="89"/>
      <c r="R50" s="89"/>
      <c r="S50" s="89"/>
      <c r="T50" s="89"/>
      <c r="U50" s="89"/>
      <c r="V50" s="89"/>
      <c r="W50" s="104" t="s">
        <v>1329</v>
      </c>
    </row>
    <row r="51" spans="1:23" ht="26.25" hidden="1" customHeight="1">
      <c r="A51" s="89"/>
      <c r="B51" s="89"/>
      <c r="C51" s="89"/>
      <c r="D51" s="89"/>
      <c r="E51" s="89"/>
      <c r="F51" s="89"/>
      <c r="G51" s="89"/>
      <c r="H51" s="112"/>
      <c r="I51" s="89"/>
      <c r="J51" s="89"/>
      <c r="K51" s="89"/>
      <c r="L51" s="89"/>
      <c r="M51" s="89"/>
      <c r="N51" s="89"/>
      <c r="O51" s="89"/>
      <c r="P51" s="123"/>
      <c r="Q51" s="124"/>
      <c r="R51" s="89"/>
      <c r="S51" s="89"/>
      <c r="T51" s="89"/>
      <c r="U51" s="89"/>
      <c r="V51" s="89"/>
      <c r="W51" s="104" t="s">
        <v>1348</v>
      </c>
    </row>
    <row r="52" spans="1:23" ht="26.25" hidden="1" customHeight="1">
      <c r="A52" s="89"/>
      <c r="B52" s="89"/>
      <c r="C52" s="89"/>
      <c r="D52" s="89"/>
      <c r="E52" s="89"/>
      <c r="F52" s="89"/>
      <c r="G52" s="89"/>
      <c r="H52" s="112"/>
      <c r="I52" s="89"/>
      <c r="J52" s="89"/>
      <c r="K52" s="89"/>
      <c r="L52" s="89"/>
      <c r="M52" s="89" t="s">
        <v>1374</v>
      </c>
      <c r="N52" s="89"/>
      <c r="O52" s="89"/>
      <c r="P52" s="123"/>
      <c r="Q52" s="124"/>
      <c r="R52" s="89"/>
      <c r="S52" s="89"/>
      <c r="T52" s="89"/>
      <c r="U52" s="89"/>
      <c r="V52" s="89"/>
      <c r="W52" s="104" t="s">
        <v>1376</v>
      </c>
    </row>
    <row r="53" spans="1:23" s="122" customFormat="1" ht="26.25" hidden="1" customHeight="1">
      <c r="A53" s="118"/>
      <c r="B53" s="118"/>
      <c r="C53" s="118"/>
      <c r="D53" s="118"/>
      <c r="E53" s="118"/>
      <c r="F53" s="118"/>
      <c r="G53" s="118"/>
      <c r="H53" s="119"/>
      <c r="I53" s="118"/>
      <c r="J53" s="118"/>
      <c r="K53" s="118"/>
      <c r="L53" s="118"/>
      <c r="M53" s="118"/>
      <c r="N53" s="118"/>
      <c r="O53" s="118"/>
      <c r="P53" s="120"/>
      <c r="Q53" s="121"/>
      <c r="R53" s="118"/>
      <c r="S53" s="118"/>
      <c r="T53" s="118"/>
      <c r="U53" s="118"/>
      <c r="V53" s="118"/>
      <c r="W53" s="118"/>
    </row>
    <row r="54" spans="1:23" ht="26.25" hidden="1" customHeight="1">
      <c r="A54" s="105" t="s">
        <v>1416</v>
      </c>
      <c r="B54" s="107" t="s">
        <v>1391</v>
      </c>
      <c r="C54" s="105" t="s">
        <v>1415</v>
      </c>
      <c r="D54" s="105" t="s">
        <v>1412</v>
      </c>
      <c r="E54" s="105" t="s">
        <v>1413</v>
      </c>
      <c r="F54" s="105" t="s">
        <v>1413</v>
      </c>
      <c r="G54" s="105" t="s">
        <v>1414</v>
      </c>
      <c r="H54" s="107" t="s">
        <v>1377</v>
      </c>
      <c r="I54" s="105" t="s">
        <v>1383</v>
      </c>
      <c r="J54" s="105" t="s">
        <v>1383</v>
      </c>
      <c r="K54" s="105" t="s">
        <v>1384</v>
      </c>
      <c r="L54" s="105" t="s">
        <v>1385</v>
      </c>
      <c r="M54" s="104" t="s">
        <v>4037</v>
      </c>
      <c r="N54" s="105" t="s">
        <v>1419</v>
      </c>
      <c r="O54" s="105" t="s">
        <v>1423</v>
      </c>
      <c r="P54" s="90" t="s">
        <v>1356</v>
      </c>
      <c r="Q54" s="104" t="s">
        <v>1366</v>
      </c>
      <c r="R54" s="104" t="s">
        <v>1363</v>
      </c>
      <c r="S54" s="104" t="s">
        <v>1420</v>
      </c>
      <c r="T54" s="104" t="s">
        <v>1364</v>
      </c>
      <c r="U54" s="104" t="s">
        <v>1394</v>
      </c>
      <c r="V54" s="104" t="s">
        <v>1390</v>
      </c>
      <c r="W54" s="104" t="s">
        <v>1378</v>
      </c>
    </row>
    <row r="55" spans="1:23" ht="26.25" hidden="1" customHeight="1">
      <c r="A55" s="105"/>
      <c r="B55" s="104" t="s">
        <v>1409</v>
      </c>
      <c r="C55" s="105" t="s">
        <v>1440</v>
      </c>
      <c r="D55" s="105" t="s">
        <v>1417</v>
      </c>
      <c r="E55" s="105" t="s">
        <v>1417</v>
      </c>
      <c r="F55" s="105" t="s">
        <v>1417</v>
      </c>
      <c r="G55" s="105" t="s">
        <v>1615</v>
      </c>
      <c r="H55" s="107" t="s">
        <v>1392</v>
      </c>
      <c r="I55" s="115" t="s">
        <v>1507</v>
      </c>
      <c r="J55" s="115" t="s">
        <v>1507</v>
      </c>
      <c r="K55" s="115" t="s">
        <v>1521</v>
      </c>
      <c r="L55" s="104" t="s">
        <v>1474</v>
      </c>
      <c r="M55" s="104" t="s">
        <v>1373</v>
      </c>
      <c r="N55" s="107" t="s">
        <v>1477</v>
      </c>
      <c r="O55" s="107" t="s">
        <v>1453</v>
      </c>
      <c r="P55" s="123"/>
      <c r="Q55" s="104" t="s">
        <v>1459</v>
      </c>
      <c r="R55" s="104" t="s">
        <v>1460</v>
      </c>
      <c r="S55" s="104" t="s">
        <v>1449</v>
      </c>
      <c r="T55" s="104" t="s">
        <v>1438</v>
      </c>
      <c r="U55" s="104" t="s">
        <v>1441</v>
      </c>
      <c r="V55" s="104" t="s">
        <v>1421</v>
      </c>
      <c r="W55" s="104" t="s">
        <v>1410</v>
      </c>
    </row>
    <row r="56" spans="1:23" ht="26.25" hidden="1" customHeight="1">
      <c r="A56" s="89"/>
      <c r="B56" s="104" t="s">
        <v>1422</v>
      </c>
      <c r="C56" s="104" t="s">
        <v>1452</v>
      </c>
      <c r="D56" s="104" t="s">
        <v>1452</v>
      </c>
      <c r="E56" s="105"/>
      <c r="F56" s="105" t="s">
        <v>1614</v>
      </c>
      <c r="G56" s="89"/>
      <c r="H56" s="107" t="s">
        <v>1393</v>
      </c>
      <c r="I56" s="115"/>
      <c r="J56" s="115"/>
      <c r="K56" s="107" t="s">
        <v>1566</v>
      </c>
      <c r="L56" s="105" t="s">
        <v>1507</v>
      </c>
      <c r="M56" s="104" t="s">
        <v>1389</v>
      </c>
      <c r="N56" s="104" t="s">
        <v>1575</v>
      </c>
      <c r="O56" s="104" t="s">
        <v>1382</v>
      </c>
      <c r="P56" s="123"/>
      <c r="Q56" s="104" t="s">
        <v>1496</v>
      </c>
      <c r="R56" s="104" t="s">
        <v>1486</v>
      </c>
      <c r="S56" s="104" t="s">
        <v>1475</v>
      </c>
      <c r="T56" s="106" t="s">
        <v>1428</v>
      </c>
      <c r="U56" s="104" t="s">
        <v>1511</v>
      </c>
      <c r="V56" s="104" t="s">
        <v>1457</v>
      </c>
      <c r="W56" s="104" t="s">
        <v>1411</v>
      </c>
    </row>
    <row r="57" spans="1:23" ht="26.25" hidden="1" customHeight="1">
      <c r="A57" s="89"/>
      <c r="B57" s="104" t="s">
        <v>1465</v>
      </c>
      <c r="C57" s="104" t="s">
        <v>1479</v>
      </c>
      <c r="D57" s="104" t="s">
        <v>1479</v>
      </c>
      <c r="E57" s="89"/>
      <c r="F57" s="89"/>
      <c r="G57" s="89"/>
      <c r="H57" s="107" t="s">
        <v>1437</v>
      </c>
      <c r="I57" s="89"/>
      <c r="J57" s="89"/>
      <c r="K57" s="104" t="s">
        <v>1567</v>
      </c>
      <c r="L57" s="104" t="s">
        <v>1558</v>
      </c>
      <c r="M57" s="104" t="s">
        <v>1435</v>
      </c>
      <c r="N57" s="104" t="s">
        <v>1603</v>
      </c>
      <c r="O57" s="104" t="s">
        <v>1418</v>
      </c>
      <c r="P57" s="123"/>
      <c r="Q57" s="104" t="s">
        <v>1495</v>
      </c>
      <c r="R57" s="104" t="s">
        <v>1544</v>
      </c>
      <c r="S57" s="104" t="s">
        <v>1529</v>
      </c>
      <c r="T57" s="104" t="s">
        <v>1442</v>
      </c>
      <c r="U57" s="104" t="s">
        <v>1513</v>
      </c>
      <c r="V57" s="104" t="s">
        <v>1510</v>
      </c>
      <c r="W57" s="104" t="s">
        <v>1432</v>
      </c>
    </row>
    <row r="58" spans="1:23" ht="26.25" hidden="1" customHeight="1">
      <c r="A58" s="89"/>
      <c r="B58" s="104" t="s">
        <v>1464</v>
      </c>
      <c r="C58" s="104" t="s">
        <v>1508</v>
      </c>
      <c r="D58" s="104" t="s">
        <v>1599</v>
      </c>
      <c r="E58" s="89"/>
      <c r="F58" s="89"/>
      <c r="G58" s="89"/>
      <c r="H58" s="104" t="s">
        <v>1436</v>
      </c>
      <c r="I58" s="89"/>
      <c r="J58" s="89"/>
      <c r="K58" s="104" t="s">
        <v>1580</v>
      </c>
      <c r="L58" s="104" t="s">
        <v>1595</v>
      </c>
      <c r="M58" s="104" t="s">
        <v>1456</v>
      </c>
      <c r="N58" s="104"/>
      <c r="O58" s="105" t="s">
        <v>1506</v>
      </c>
      <c r="P58" s="89"/>
      <c r="Q58" s="106" t="s">
        <v>1536</v>
      </c>
      <c r="R58" s="105"/>
      <c r="S58" s="106" t="s">
        <v>1528</v>
      </c>
      <c r="T58" s="104" t="s">
        <v>1450</v>
      </c>
      <c r="U58" s="104" t="s">
        <v>1512</v>
      </c>
      <c r="V58" s="105"/>
      <c r="W58" s="104" t="s">
        <v>1433</v>
      </c>
    </row>
    <row r="59" spans="1:23" ht="26.25" hidden="1" customHeight="1">
      <c r="A59" s="89"/>
      <c r="B59" s="104" t="s">
        <v>1492</v>
      </c>
      <c r="C59" s="104" t="s">
        <v>1537</v>
      </c>
      <c r="D59" s="89"/>
      <c r="E59" s="89"/>
      <c r="F59" s="89"/>
      <c r="G59" s="89"/>
      <c r="H59" s="115" t="s">
        <v>1533</v>
      </c>
      <c r="I59" s="89"/>
      <c r="J59" s="89"/>
      <c r="K59" s="104" t="s">
        <v>1579</v>
      </c>
      <c r="L59" s="104" t="s">
        <v>1596</v>
      </c>
      <c r="M59" s="104" t="s">
        <v>4038</v>
      </c>
      <c r="N59" s="89"/>
      <c r="O59" s="104" t="s">
        <v>1565</v>
      </c>
      <c r="P59" s="89"/>
      <c r="Q59" s="104" t="s">
        <v>1560</v>
      </c>
      <c r="R59" s="89"/>
      <c r="S59" s="105"/>
      <c r="T59" s="104" t="s">
        <v>1472</v>
      </c>
      <c r="U59" s="104" t="s">
        <v>1531</v>
      </c>
      <c r="V59" s="89"/>
      <c r="W59" s="104" t="s">
        <v>1434</v>
      </c>
    </row>
    <row r="60" spans="1:23" ht="26.25" hidden="1" customHeight="1">
      <c r="A60" s="89"/>
      <c r="B60" s="104" t="s">
        <v>1523</v>
      </c>
      <c r="C60" s="104" t="s">
        <v>1578</v>
      </c>
      <c r="D60" s="89"/>
      <c r="E60" s="89"/>
      <c r="F60" s="89"/>
      <c r="G60" s="89"/>
      <c r="H60" s="125" t="s">
        <v>1557</v>
      </c>
      <c r="I60" s="89"/>
      <c r="J60" s="89"/>
      <c r="K60" s="104"/>
      <c r="L60" s="104" t="s">
        <v>1601</v>
      </c>
      <c r="M60" s="106" t="s">
        <v>1478</v>
      </c>
      <c r="N60" s="89"/>
      <c r="O60" s="104" t="s">
        <v>1559</v>
      </c>
      <c r="P60" s="89"/>
      <c r="Q60" s="105"/>
      <c r="R60" s="89"/>
      <c r="S60" s="89"/>
      <c r="T60" s="104" t="s">
        <v>1473</v>
      </c>
      <c r="U60" s="104" t="s">
        <v>1562</v>
      </c>
      <c r="V60" s="89"/>
      <c r="W60" s="104" t="s">
        <v>1461</v>
      </c>
    </row>
    <row r="61" spans="1:23" ht="26.25" hidden="1" customHeight="1">
      <c r="A61" s="89"/>
      <c r="B61" s="104" t="s">
        <v>1538</v>
      </c>
      <c r="C61" s="104"/>
      <c r="D61" s="89"/>
      <c r="E61" s="89"/>
      <c r="F61" s="89"/>
      <c r="G61" s="89"/>
      <c r="H61" s="107" t="s">
        <v>1600</v>
      </c>
      <c r="I61" s="89"/>
      <c r="J61" s="89"/>
      <c r="K61" s="89"/>
      <c r="L61" s="104"/>
      <c r="M61" s="104" t="s">
        <v>1509</v>
      </c>
      <c r="N61" s="89"/>
      <c r="O61" s="104" t="s">
        <v>1569</v>
      </c>
      <c r="P61" s="89"/>
      <c r="Q61" s="89"/>
      <c r="R61" s="89"/>
      <c r="S61" s="89"/>
      <c r="T61" s="104" t="s">
        <v>1530</v>
      </c>
      <c r="U61" s="104" t="s">
        <v>1621</v>
      </c>
      <c r="V61" s="89"/>
      <c r="W61" s="104" t="s">
        <v>1451</v>
      </c>
    </row>
    <row r="62" spans="1:23" ht="26.25" hidden="1" customHeight="1">
      <c r="A62" s="89"/>
      <c r="B62" s="104" t="s">
        <v>1543</v>
      </c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109" t="s">
        <v>1525</v>
      </c>
      <c r="N62" s="89"/>
      <c r="O62" s="104"/>
      <c r="P62" s="89" t="s">
        <v>1439</v>
      </c>
      <c r="Q62" s="89"/>
      <c r="R62" s="89"/>
      <c r="S62" s="89"/>
      <c r="T62" s="105"/>
      <c r="U62" s="104" t="s">
        <v>1586</v>
      </c>
      <c r="V62" s="89"/>
      <c r="W62" s="104" t="s">
        <v>1455</v>
      </c>
    </row>
    <row r="63" spans="1:23" ht="26.25" hidden="1" customHeight="1">
      <c r="A63" s="89"/>
      <c r="B63" s="104" t="s">
        <v>4039</v>
      </c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104" t="s">
        <v>1581</v>
      </c>
      <c r="N63" s="89"/>
      <c r="O63" s="89"/>
      <c r="P63" s="89"/>
      <c r="Q63" s="89"/>
      <c r="R63" s="89"/>
      <c r="S63" s="89"/>
      <c r="T63" s="89"/>
      <c r="U63" s="104" t="s">
        <v>1604</v>
      </c>
      <c r="V63" s="89"/>
      <c r="W63" s="104" t="s">
        <v>1454</v>
      </c>
    </row>
    <row r="64" spans="1:23" ht="26.25" hidden="1" customHeight="1">
      <c r="A64" s="89"/>
      <c r="B64" s="104" t="s">
        <v>1597</v>
      </c>
      <c r="C64" s="89"/>
      <c r="D64" s="89"/>
      <c r="E64" s="89"/>
      <c r="F64" s="89"/>
      <c r="G64" s="89"/>
      <c r="H64" s="112"/>
      <c r="I64" s="89"/>
      <c r="J64" s="89"/>
      <c r="K64" s="89"/>
      <c r="L64" s="89"/>
      <c r="M64" s="104" t="s">
        <v>1602</v>
      </c>
      <c r="N64" s="89"/>
      <c r="O64" s="89"/>
      <c r="P64" s="89"/>
      <c r="Q64" s="89"/>
      <c r="R64" s="89"/>
      <c r="S64" s="89"/>
      <c r="T64" s="89"/>
      <c r="U64" s="104"/>
      <c r="V64" s="89"/>
      <c r="W64" s="104" t="s">
        <v>4040</v>
      </c>
    </row>
    <row r="65" spans="1:23" ht="26.25" hidden="1" customHeight="1">
      <c r="A65" s="89"/>
      <c r="B65" s="104"/>
      <c r="C65" s="89"/>
      <c r="D65" s="89"/>
      <c r="E65" s="89"/>
      <c r="F65" s="89"/>
      <c r="G65" s="89"/>
      <c r="H65" s="112"/>
      <c r="I65" s="89"/>
      <c r="J65" s="89"/>
      <c r="K65" s="89"/>
      <c r="L65" s="89"/>
      <c r="M65" s="106" t="s">
        <v>1623</v>
      </c>
      <c r="N65" s="89"/>
      <c r="O65" s="89"/>
      <c r="P65" s="89"/>
      <c r="Q65" s="89"/>
      <c r="R65" s="89"/>
      <c r="S65" s="89"/>
      <c r="T65" s="89"/>
      <c r="U65" s="89"/>
      <c r="V65" s="89"/>
      <c r="W65" s="104" t="s">
        <v>1463</v>
      </c>
    </row>
    <row r="66" spans="1:23" ht="26.25" hidden="1" customHeight="1">
      <c r="A66" s="89"/>
      <c r="B66" s="89"/>
      <c r="C66" s="89"/>
      <c r="D66" s="89"/>
      <c r="E66" s="89"/>
      <c r="F66" s="89"/>
      <c r="G66" s="89"/>
      <c r="H66" s="112"/>
      <c r="I66" s="89"/>
      <c r="J66" s="89"/>
      <c r="K66" s="89"/>
      <c r="L66" s="89"/>
      <c r="M66" s="104" t="s">
        <v>1624</v>
      </c>
      <c r="N66" s="89"/>
      <c r="O66" s="89"/>
      <c r="P66" s="89"/>
      <c r="Q66" s="89"/>
      <c r="R66" s="89"/>
      <c r="S66" s="89"/>
      <c r="T66" s="89"/>
      <c r="U66" s="89"/>
      <c r="V66" s="89"/>
      <c r="W66" s="104" t="s">
        <v>1476</v>
      </c>
    </row>
    <row r="67" spans="1:23" ht="26.25" hidden="1" customHeight="1">
      <c r="A67" s="89"/>
      <c r="B67" s="89"/>
      <c r="C67" s="89"/>
      <c r="D67" s="89"/>
      <c r="E67" s="89"/>
      <c r="F67" s="89"/>
      <c r="G67" s="89"/>
      <c r="H67" s="112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104" t="s">
        <v>1489</v>
      </c>
    </row>
    <row r="68" spans="1:23" ht="26.25" hidden="1" customHeight="1">
      <c r="A68" s="89"/>
      <c r="B68" s="89"/>
      <c r="C68" s="89"/>
      <c r="D68" s="89"/>
      <c r="E68" s="89"/>
      <c r="F68" s="89"/>
      <c r="G68" s="89"/>
      <c r="H68" s="112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109" t="s">
        <v>1488</v>
      </c>
    </row>
    <row r="69" spans="1:23" ht="26.25" hidden="1" customHeight="1">
      <c r="A69" s="89"/>
      <c r="B69" s="89"/>
      <c r="C69" s="89"/>
      <c r="D69" s="89"/>
      <c r="E69" s="89"/>
      <c r="F69" s="89"/>
      <c r="G69" s="89"/>
      <c r="H69" s="112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109" t="s">
        <v>1487</v>
      </c>
    </row>
    <row r="70" spans="1:23" ht="26.25" hidden="1" customHeight="1">
      <c r="A70" s="89"/>
      <c r="B70" s="89"/>
      <c r="C70" s="89"/>
      <c r="D70" s="89"/>
      <c r="E70" s="89"/>
      <c r="F70" s="89"/>
      <c r="G70" s="89"/>
      <c r="H70" s="112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104" t="s">
        <v>1494</v>
      </c>
    </row>
    <row r="71" spans="1:23" ht="26.25" hidden="1" customHeight="1">
      <c r="A71" s="89"/>
      <c r="B71" s="89"/>
      <c r="C71" s="89"/>
      <c r="D71" s="89"/>
      <c r="E71" s="89"/>
      <c r="F71" s="89"/>
      <c r="G71" s="89"/>
      <c r="H71" s="112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104" t="s">
        <v>1493</v>
      </c>
    </row>
    <row r="72" spans="1:23" ht="26.25" hidden="1" customHeight="1">
      <c r="A72" s="89"/>
      <c r="B72" s="89"/>
      <c r="C72" s="89"/>
      <c r="D72" s="89"/>
      <c r="E72" s="89"/>
      <c r="F72" s="89"/>
      <c r="G72" s="89">
        <f>G71-SUM(F70:F74)</f>
        <v>0</v>
      </c>
      <c r="H72" s="112"/>
      <c r="I72" s="89"/>
      <c r="J72" s="89"/>
      <c r="K72" s="89"/>
      <c r="L72" s="89"/>
      <c r="M72" s="89"/>
      <c r="N72" s="116"/>
      <c r="O72" s="89"/>
      <c r="P72" s="89"/>
      <c r="Q72" s="89"/>
      <c r="R72" s="89"/>
      <c r="S72" s="89"/>
      <c r="T72" s="89"/>
      <c r="U72" s="89"/>
      <c r="V72" s="89"/>
      <c r="W72" s="104" t="s">
        <v>1532</v>
      </c>
    </row>
    <row r="73" spans="1:23" ht="26.25" hidden="1" customHeight="1">
      <c r="A73" s="89"/>
      <c r="B73" s="89"/>
      <c r="C73" s="89"/>
      <c r="D73" s="89"/>
      <c r="E73" s="89"/>
      <c r="F73" s="89"/>
      <c r="G73" s="89"/>
      <c r="H73" s="112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104" t="s">
        <v>1534</v>
      </c>
    </row>
    <row r="74" spans="1:23" ht="26.25" hidden="1" customHeight="1">
      <c r="A74" s="89"/>
      <c r="B74" s="89"/>
      <c r="C74" s="89"/>
      <c r="D74" s="89"/>
      <c r="E74" s="89"/>
      <c r="F74" s="89"/>
      <c r="G74" s="89"/>
      <c r="H74" s="112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104" t="s">
        <v>1535</v>
      </c>
    </row>
    <row r="75" spans="1:23" ht="26.25" hidden="1" customHeight="1">
      <c r="A75" s="89"/>
      <c r="B75" s="89"/>
      <c r="C75" s="89"/>
      <c r="D75" s="89"/>
      <c r="E75" s="89"/>
      <c r="F75" s="89"/>
      <c r="G75" s="89"/>
      <c r="H75" s="112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104" t="s">
        <v>1545</v>
      </c>
    </row>
    <row r="76" spans="1:23" ht="26.25" hidden="1" customHeight="1">
      <c r="A76" s="89"/>
      <c r="B76" s="89"/>
      <c r="C76" s="89"/>
      <c r="D76" s="89"/>
      <c r="E76" s="89"/>
      <c r="F76" s="89"/>
      <c r="G76" s="89"/>
      <c r="H76" s="112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104" t="s">
        <v>4041</v>
      </c>
    </row>
    <row r="77" spans="1:23" ht="26.25" hidden="1" customHeight="1">
      <c r="A77" s="89"/>
      <c r="B77" s="89"/>
      <c r="C77" s="89"/>
      <c r="D77" s="89"/>
      <c r="E77" s="89"/>
      <c r="F77" s="89"/>
      <c r="G77" s="89"/>
      <c r="H77" s="112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104" t="s">
        <v>1576</v>
      </c>
    </row>
    <row r="78" spans="1:23" ht="26.25" hidden="1" customHeight="1">
      <c r="A78" s="89"/>
      <c r="B78" s="89"/>
      <c r="C78" s="89"/>
      <c r="D78" s="89"/>
      <c r="E78" s="89"/>
      <c r="F78" s="89">
        <f>(E78-D78)*(B71/10000)*132</f>
        <v>0</v>
      </c>
      <c r="G78" s="89"/>
      <c r="H78" s="112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104" t="s">
        <v>1585</v>
      </c>
    </row>
    <row r="79" spans="1:23" ht="26.25" hidden="1" customHeight="1">
      <c r="A79" s="89"/>
      <c r="B79" s="89"/>
      <c r="C79" s="89"/>
      <c r="D79" s="89"/>
      <c r="E79" s="89"/>
      <c r="F79" s="89"/>
      <c r="G79" s="89"/>
      <c r="H79" s="112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104" t="s">
        <v>1584</v>
      </c>
    </row>
    <row r="80" spans="1:23" ht="26.25" hidden="1" customHeight="1">
      <c r="A80" s="89"/>
      <c r="B80" s="89"/>
      <c r="C80" s="89"/>
      <c r="D80" s="89"/>
      <c r="E80" s="89"/>
      <c r="F80" s="89"/>
      <c r="G80" s="89"/>
      <c r="H80" s="112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104" t="s">
        <v>1583</v>
      </c>
    </row>
    <row r="81" spans="1:23" ht="26.25" hidden="1" customHeight="1">
      <c r="A81" s="89"/>
      <c r="B81" s="89"/>
      <c r="C81" s="89"/>
      <c r="D81" s="89"/>
      <c r="E81" s="89"/>
      <c r="F81" s="89"/>
      <c r="G81" s="89"/>
      <c r="H81" s="112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104" t="s">
        <v>1582</v>
      </c>
    </row>
    <row r="82" spans="1:23" ht="26.25" hidden="1" customHeight="1">
      <c r="A82" s="89"/>
      <c r="B82" s="89"/>
      <c r="C82" s="89"/>
      <c r="D82" s="89"/>
      <c r="E82" s="89"/>
      <c r="F82" s="89"/>
      <c r="G82" s="89"/>
      <c r="H82" s="112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104" t="s">
        <v>1605</v>
      </c>
    </row>
    <row r="83" spans="1:23" s="111" customFormat="1" ht="26.25" hidden="1" customHeight="1">
      <c r="A83" s="110"/>
      <c r="B83" s="110"/>
      <c r="C83" s="110"/>
      <c r="D83" s="110"/>
      <c r="E83" s="110"/>
      <c r="F83" s="110"/>
      <c r="G83" s="110"/>
      <c r="H83" s="113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 t="s">
        <v>1611</v>
      </c>
    </row>
    <row r="84" spans="1:23" ht="26.25" hidden="1" customHeight="1">
      <c r="A84" s="105" t="s">
        <v>1622</v>
      </c>
      <c r="B84" s="104" t="s">
        <v>1598</v>
      </c>
      <c r="C84" s="104" t="s">
        <v>1628</v>
      </c>
      <c r="D84" s="104" t="s">
        <v>1682</v>
      </c>
      <c r="E84" s="105" t="s">
        <v>1657</v>
      </c>
      <c r="F84" s="104" t="s">
        <v>1694</v>
      </c>
      <c r="G84" s="104" t="s">
        <v>4042</v>
      </c>
      <c r="H84" s="104" t="s">
        <v>1950</v>
      </c>
      <c r="I84" s="115" t="s">
        <v>1647</v>
      </c>
      <c r="J84" s="115" t="s">
        <v>1676</v>
      </c>
      <c r="K84" s="104" t="s">
        <v>4043</v>
      </c>
      <c r="L84" s="104" t="s">
        <v>1734</v>
      </c>
      <c r="M84" s="104" t="s">
        <v>1625</v>
      </c>
      <c r="N84" s="104" t="s">
        <v>4044</v>
      </c>
      <c r="O84" s="104" t="s">
        <v>1612</v>
      </c>
      <c r="P84" s="90" t="s">
        <v>1356</v>
      </c>
      <c r="Q84" s="105" t="s">
        <v>1641</v>
      </c>
      <c r="R84" s="105" t="s">
        <v>1594</v>
      </c>
      <c r="S84" s="105" t="s">
        <v>1668</v>
      </c>
      <c r="T84" s="105" t="s">
        <v>1646</v>
      </c>
      <c r="U84" s="104" t="s">
        <v>1627</v>
      </c>
      <c r="V84" s="105" t="s">
        <v>1613</v>
      </c>
      <c r="W84" s="104" t="s">
        <v>1626</v>
      </c>
    </row>
    <row r="85" spans="1:23" ht="26.25" hidden="1" customHeight="1">
      <c r="A85" s="104" t="s">
        <v>1677</v>
      </c>
      <c r="B85" s="104" t="s">
        <v>4045</v>
      </c>
      <c r="C85" s="104" t="s">
        <v>1629</v>
      </c>
      <c r="D85" s="104" t="s">
        <v>1695</v>
      </c>
      <c r="E85" s="104" t="s">
        <v>1666</v>
      </c>
      <c r="F85" s="104" t="s">
        <v>1705</v>
      </c>
      <c r="G85" s="105" t="s">
        <v>1949</v>
      </c>
      <c r="H85" s="105" t="s">
        <v>1949</v>
      </c>
      <c r="I85" s="104" t="s">
        <v>1656</v>
      </c>
      <c r="J85" s="105" t="s">
        <v>1679</v>
      </c>
      <c r="K85" s="104" t="s">
        <v>1678</v>
      </c>
      <c r="L85" s="104" t="s">
        <v>1766</v>
      </c>
      <c r="M85" s="104" t="s">
        <v>1640</v>
      </c>
      <c r="N85" s="104" t="s">
        <v>4046</v>
      </c>
      <c r="O85" s="104" t="s">
        <v>4047</v>
      </c>
      <c r="P85" s="89"/>
      <c r="Q85" s="104" t="s">
        <v>1738</v>
      </c>
      <c r="R85" s="104" t="s">
        <v>4048</v>
      </c>
      <c r="S85" s="104" t="s">
        <v>1759</v>
      </c>
      <c r="T85" s="104" t="s">
        <v>1655</v>
      </c>
      <c r="U85" s="104" t="s">
        <v>1653</v>
      </c>
      <c r="V85" s="104" t="s">
        <v>1670</v>
      </c>
      <c r="W85" s="104" t="s">
        <v>1637</v>
      </c>
    </row>
    <row r="86" spans="1:23" ht="26.25" hidden="1" customHeight="1">
      <c r="A86" s="104" t="s">
        <v>1680</v>
      </c>
      <c r="B86" s="104" t="s">
        <v>1733</v>
      </c>
      <c r="C86" s="104" t="s">
        <v>1664</v>
      </c>
      <c r="D86" s="104" t="s">
        <v>1692</v>
      </c>
      <c r="E86" s="104" t="s">
        <v>1697</v>
      </c>
      <c r="F86" s="104" t="s">
        <v>1745</v>
      </c>
      <c r="G86" s="105" t="s">
        <v>2040</v>
      </c>
      <c r="H86" s="105" t="s">
        <v>2040</v>
      </c>
      <c r="I86" s="104" t="s">
        <v>1672</v>
      </c>
      <c r="J86" s="105" t="s">
        <v>2061</v>
      </c>
      <c r="K86" s="104" t="s">
        <v>4049</v>
      </c>
      <c r="L86" s="104" t="s">
        <v>1777</v>
      </c>
      <c r="M86" s="104" t="s">
        <v>1667</v>
      </c>
      <c r="N86" s="104" t="s">
        <v>4050</v>
      </c>
      <c r="O86" s="104" t="s">
        <v>4051</v>
      </c>
      <c r="P86" s="89"/>
      <c r="Q86" s="104" t="s">
        <v>4052</v>
      </c>
      <c r="R86" s="104" t="s">
        <v>1767</v>
      </c>
      <c r="S86" s="104" t="s">
        <v>1747</v>
      </c>
      <c r="T86" s="104" t="s">
        <v>1654</v>
      </c>
      <c r="U86" s="104" t="s">
        <v>1669</v>
      </c>
      <c r="V86" s="104" t="s">
        <v>1751</v>
      </c>
      <c r="W86" s="104" t="s">
        <v>1630</v>
      </c>
    </row>
    <row r="87" spans="1:23" ht="26.25" hidden="1" customHeight="1">
      <c r="A87" s="104" t="s">
        <v>1748</v>
      </c>
      <c r="B87" s="104" t="s">
        <v>1732</v>
      </c>
      <c r="C87" s="104" t="s">
        <v>1665</v>
      </c>
      <c r="D87" s="104" t="s">
        <v>1744</v>
      </c>
      <c r="E87" s="104" t="s">
        <v>1696</v>
      </c>
      <c r="F87" s="104" t="s">
        <v>1749</v>
      </c>
      <c r="G87" s="105"/>
      <c r="H87" s="105"/>
      <c r="I87" s="105" t="s">
        <v>1943</v>
      </c>
      <c r="J87" s="104" t="s">
        <v>2083</v>
      </c>
      <c r="K87" s="104" t="s">
        <v>1765</v>
      </c>
      <c r="L87" s="104" t="s">
        <v>1783</v>
      </c>
      <c r="M87" s="104" t="s">
        <v>1737</v>
      </c>
      <c r="N87" s="104" t="s">
        <v>4051</v>
      </c>
      <c r="O87" s="104" t="s">
        <v>1912</v>
      </c>
      <c r="P87" s="89"/>
      <c r="Q87" s="104" t="s">
        <v>1809</v>
      </c>
      <c r="R87" s="104" t="s">
        <v>4053</v>
      </c>
      <c r="S87" s="104" t="s">
        <v>1795</v>
      </c>
      <c r="T87" s="104" t="s">
        <v>1683</v>
      </c>
      <c r="U87" s="104" t="s">
        <v>1739</v>
      </c>
      <c r="V87" s="104" t="s">
        <v>1798</v>
      </c>
      <c r="W87" s="104" t="s">
        <v>1635</v>
      </c>
    </row>
    <row r="88" spans="1:23" ht="26.25" hidden="1" customHeight="1">
      <c r="A88" s="126" t="s">
        <v>1944</v>
      </c>
      <c r="B88" s="104" t="s">
        <v>1735</v>
      </c>
      <c r="C88" s="104" t="s">
        <v>1681</v>
      </c>
      <c r="D88" s="104" t="s">
        <v>1769</v>
      </c>
      <c r="E88" s="104" t="s">
        <v>1736</v>
      </c>
      <c r="F88" s="105" t="s">
        <v>1943</v>
      </c>
      <c r="G88" s="89"/>
      <c r="H88" s="112"/>
      <c r="I88" s="105" t="s">
        <v>2045</v>
      </c>
      <c r="J88" s="104" t="s">
        <v>4054</v>
      </c>
      <c r="K88" s="104" t="s">
        <v>1764</v>
      </c>
      <c r="L88" s="127" t="s">
        <v>1788</v>
      </c>
      <c r="M88" s="104" t="s">
        <v>1768</v>
      </c>
      <c r="N88" s="104" t="s">
        <v>1832</v>
      </c>
      <c r="O88" s="104" t="s">
        <v>1919</v>
      </c>
      <c r="P88" s="89"/>
      <c r="Q88" s="104" t="s">
        <v>1808</v>
      </c>
      <c r="R88" s="104" t="s">
        <v>1836</v>
      </c>
      <c r="S88" s="104" t="s">
        <v>1837</v>
      </c>
      <c r="T88" s="104" t="s">
        <v>1787</v>
      </c>
      <c r="U88" s="104" t="s">
        <v>1750</v>
      </c>
      <c r="V88" s="104" t="s">
        <v>1785</v>
      </c>
      <c r="W88" s="104" t="s">
        <v>1638</v>
      </c>
    </row>
    <row r="89" spans="1:23" ht="26.25" hidden="1" customHeight="1">
      <c r="A89" s="105"/>
      <c r="B89" s="105" t="s">
        <v>1943</v>
      </c>
      <c r="C89" s="104" t="s">
        <v>1698</v>
      </c>
      <c r="D89" s="104" t="s">
        <v>1791</v>
      </c>
      <c r="E89" s="104" t="s">
        <v>1770</v>
      </c>
      <c r="F89" s="104" t="s">
        <v>4055</v>
      </c>
      <c r="G89" s="89"/>
      <c r="H89" s="112"/>
      <c r="I89" s="104" t="s">
        <v>2082</v>
      </c>
      <c r="J89" s="89"/>
      <c r="K89" s="104" t="s">
        <v>4056</v>
      </c>
      <c r="L89" s="105" t="s">
        <v>1789</v>
      </c>
      <c r="M89" s="104" t="s">
        <v>1776</v>
      </c>
      <c r="N89" s="104" t="s">
        <v>4057</v>
      </c>
      <c r="O89" s="104" t="s">
        <v>4058</v>
      </c>
      <c r="P89" s="89"/>
      <c r="Q89" s="104" t="s">
        <v>1835</v>
      </c>
      <c r="R89" s="104" t="s">
        <v>1898</v>
      </c>
      <c r="S89" s="104" t="s">
        <v>1921</v>
      </c>
      <c r="T89" s="104" t="s">
        <v>1796</v>
      </c>
      <c r="U89" s="104" t="s">
        <v>1775</v>
      </c>
      <c r="V89" s="104" t="s">
        <v>1900</v>
      </c>
      <c r="W89" s="104" t="s">
        <v>1642</v>
      </c>
    </row>
    <row r="90" spans="1:23" ht="26.25" hidden="1" customHeight="1">
      <c r="A90" s="89"/>
      <c r="B90" s="104" t="s">
        <v>1948</v>
      </c>
      <c r="C90" s="104" t="s">
        <v>1699</v>
      </c>
      <c r="D90" s="104" t="s">
        <v>1806</v>
      </c>
      <c r="E90" s="104" t="s">
        <v>1792</v>
      </c>
      <c r="F90" s="104" t="s">
        <v>2042</v>
      </c>
      <c r="G90" s="89"/>
      <c r="H90" s="112"/>
      <c r="I90" s="104" t="s">
        <v>2104</v>
      </c>
      <c r="J90" s="89"/>
      <c r="K90" s="105" t="s">
        <v>4059</v>
      </c>
      <c r="L90" s="104" t="s">
        <v>1784</v>
      </c>
      <c r="M90" s="104" t="s">
        <v>1807</v>
      </c>
      <c r="N90" s="128" t="s">
        <v>4060</v>
      </c>
      <c r="O90" s="104" t="s">
        <v>4061</v>
      </c>
      <c r="P90" s="89"/>
      <c r="Q90" s="104" t="s">
        <v>1834</v>
      </c>
      <c r="R90" s="104" t="s">
        <v>1899</v>
      </c>
      <c r="S90" s="104" t="s">
        <v>4062</v>
      </c>
      <c r="T90" s="104" t="s">
        <v>4063</v>
      </c>
      <c r="U90" s="104" t="s">
        <v>1797</v>
      </c>
      <c r="V90" s="104" t="s">
        <v>1942</v>
      </c>
      <c r="W90" s="106" t="s">
        <v>1652</v>
      </c>
    </row>
    <row r="91" spans="1:23" ht="26.25" hidden="1" customHeight="1">
      <c r="A91" s="89"/>
      <c r="B91" s="104" t="s">
        <v>1947</v>
      </c>
      <c r="C91" s="104" t="s">
        <v>1730</v>
      </c>
      <c r="D91" s="104" t="s">
        <v>1804</v>
      </c>
      <c r="E91" s="104" t="s">
        <v>1805</v>
      </c>
      <c r="F91" s="105"/>
      <c r="G91" s="89"/>
      <c r="H91" s="112"/>
      <c r="I91" s="104"/>
      <c r="J91" s="89"/>
      <c r="K91" s="105" t="s">
        <v>1794</v>
      </c>
      <c r="L91" s="104" t="s">
        <v>1818</v>
      </c>
      <c r="M91" s="104" t="s">
        <v>1831</v>
      </c>
      <c r="N91" s="104" t="s">
        <v>2034</v>
      </c>
      <c r="O91" s="104" t="s">
        <v>2063</v>
      </c>
      <c r="P91" s="89"/>
      <c r="Q91" s="104" t="s">
        <v>1833</v>
      </c>
      <c r="R91" s="104" t="s">
        <v>1920</v>
      </c>
      <c r="S91" s="104" t="s">
        <v>1971</v>
      </c>
      <c r="T91" s="104" t="s">
        <v>1838</v>
      </c>
      <c r="U91" s="104" t="s">
        <v>1786</v>
      </c>
      <c r="V91" s="104" t="s">
        <v>1964</v>
      </c>
      <c r="W91" s="104" t="s">
        <v>1651</v>
      </c>
    </row>
    <row r="92" spans="1:23" ht="26.25" hidden="1" customHeight="1">
      <c r="A92" s="89"/>
      <c r="B92" s="104" t="s">
        <v>1972</v>
      </c>
      <c r="C92" s="104" t="s">
        <v>1731</v>
      </c>
      <c r="D92" s="105" t="s">
        <v>1829</v>
      </c>
      <c r="E92" s="105" t="s">
        <v>1943</v>
      </c>
      <c r="F92" s="89"/>
      <c r="G92" s="89"/>
      <c r="H92" s="112"/>
      <c r="I92" s="89"/>
      <c r="J92" s="89"/>
      <c r="K92" s="105" t="s">
        <v>1793</v>
      </c>
      <c r="L92" s="104" t="s">
        <v>1830</v>
      </c>
      <c r="M92" s="104" t="s">
        <v>1893</v>
      </c>
      <c r="N92" s="104" t="s">
        <v>2033</v>
      </c>
      <c r="O92" s="106" t="s">
        <v>2096</v>
      </c>
      <c r="P92" s="89"/>
      <c r="Q92" s="104" t="s">
        <v>1895</v>
      </c>
      <c r="R92" s="104" t="s">
        <v>4064</v>
      </c>
      <c r="S92" s="104" t="s">
        <v>1996</v>
      </c>
      <c r="T92" s="104" t="s">
        <v>1931</v>
      </c>
      <c r="U92" s="104" t="s">
        <v>1803</v>
      </c>
      <c r="V92" s="104" t="s">
        <v>4065</v>
      </c>
      <c r="W92" s="104" t="s">
        <v>1671</v>
      </c>
    </row>
    <row r="93" spans="1:23" ht="26.25" hidden="1" customHeight="1">
      <c r="A93" s="89"/>
      <c r="B93" s="104" t="s">
        <v>1993</v>
      </c>
      <c r="C93" s="104" t="s">
        <v>1752</v>
      </c>
      <c r="D93" s="104" t="s">
        <v>1962</v>
      </c>
      <c r="E93" s="104" t="s">
        <v>1946</v>
      </c>
      <c r="F93" s="89"/>
      <c r="G93" s="89"/>
      <c r="H93" s="112"/>
      <c r="I93" s="89"/>
      <c r="J93" s="89"/>
      <c r="K93" s="106" t="s">
        <v>1799</v>
      </c>
      <c r="L93" s="104" t="s">
        <v>1892</v>
      </c>
      <c r="M93" s="104" t="s">
        <v>1840</v>
      </c>
      <c r="N93" s="104" t="s">
        <v>2032</v>
      </c>
      <c r="O93" s="104" t="s">
        <v>2092</v>
      </c>
      <c r="P93" s="89"/>
      <c r="Q93" s="104" t="s">
        <v>1894</v>
      </c>
      <c r="R93" s="104" t="s">
        <v>1973</v>
      </c>
      <c r="S93" s="104" t="s">
        <v>4066</v>
      </c>
      <c r="T93" s="104" t="s">
        <v>1953</v>
      </c>
      <c r="U93" s="104" t="s">
        <v>1813</v>
      </c>
      <c r="V93" s="104" t="s">
        <v>2044</v>
      </c>
      <c r="W93" s="104" t="s">
        <v>1684</v>
      </c>
    </row>
    <row r="94" spans="1:23" ht="26.25" hidden="1" customHeight="1">
      <c r="A94" s="89"/>
      <c r="B94" s="105"/>
      <c r="C94" s="104" t="s">
        <v>1778</v>
      </c>
      <c r="D94" s="104" t="s">
        <v>1963</v>
      </c>
      <c r="E94" s="104" t="s">
        <v>1991</v>
      </c>
      <c r="F94" s="89"/>
      <c r="G94" s="89"/>
      <c r="H94" s="112"/>
      <c r="I94" s="89"/>
      <c r="J94" s="89"/>
      <c r="K94" s="104" t="s">
        <v>1790</v>
      </c>
      <c r="L94" s="104" t="s">
        <v>1926</v>
      </c>
      <c r="M94" s="104" t="s">
        <v>1918</v>
      </c>
      <c r="N94" s="104" t="s">
        <v>2031</v>
      </c>
      <c r="O94" s="104" t="s">
        <v>2093</v>
      </c>
      <c r="P94" s="89"/>
      <c r="Q94" s="104" t="s">
        <v>1896</v>
      </c>
      <c r="R94" s="104" t="s">
        <v>1984</v>
      </c>
      <c r="S94" s="104" t="s">
        <v>2049</v>
      </c>
      <c r="T94" s="104" t="s">
        <v>2027</v>
      </c>
      <c r="U94" s="104" t="s">
        <v>1812</v>
      </c>
      <c r="V94" s="109" t="s">
        <v>2054</v>
      </c>
      <c r="W94" s="104" t="s">
        <v>1693</v>
      </c>
    </row>
    <row r="95" spans="1:23" ht="26.25" hidden="1" customHeight="1">
      <c r="A95" s="89"/>
      <c r="B95" s="89"/>
      <c r="C95" s="105" t="s">
        <v>1945</v>
      </c>
      <c r="D95" s="104" t="s">
        <v>1979</v>
      </c>
      <c r="E95" s="104" t="s">
        <v>1994</v>
      </c>
      <c r="F95" s="89"/>
      <c r="G95" s="89"/>
      <c r="H95" s="112"/>
      <c r="I95" s="89"/>
      <c r="J95" s="89"/>
      <c r="K95" s="105" t="s">
        <v>4067</v>
      </c>
      <c r="L95" s="104" t="s">
        <v>1924</v>
      </c>
      <c r="M95" s="104" t="s">
        <v>1928</v>
      </c>
      <c r="N95" s="104" t="s">
        <v>2030</v>
      </c>
      <c r="O95" s="106" t="s">
        <v>2098</v>
      </c>
      <c r="P95" s="89"/>
      <c r="Q95" s="104" t="s">
        <v>1897</v>
      </c>
      <c r="R95" s="104" t="s">
        <v>2010</v>
      </c>
      <c r="S95" s="105" t="s">
        <v>2107</v>
      </c>
      <c r="T95" s="104" t="s">
        <v>2026</v>
      </c>
      <c r="U95" s="104" t="s">
        <v>1811</v>
      </c>
      <c r="V95" s="109" t="s">
        <v>2053</v>
      </c>
      <c r="W95" s="104" t="s">
        <v>1760</v>
      </c>
    </row>
    <row r="96" spans="1:23" ht="26.25" hidden="1" customHeight="1">
      <c r="A96" s="89"/>
      <c r="B96" s="89"/>
      <c r="C96" s="104" t="s">
        <v>4068</v>
      </c>
      <c r="D96" s="104" t="s">
        <v>2003</v>
      </c>
      <c r="E96" s="128" t="s">
        <v>2103</v>
      </c>
      <c r="F96" s="89"/>
      <c r="G96" s="89"/>
      <c r="H96" s="112"/>
      <c r="I96" s="89"/>
      <c r="J96" s="89"/>
      <c r="K96" s="105" t="s">
        <v>2071</v>
      </c>
      <c r="L96" s="104" t="s">
        <v>1980</v>
      </c>
      <c r="M96" s="104" t="s">
        <v>1927</v>
      </c>
      <c r="N96" s="104" t="s">
        <v>2085</v>
      </c>
      <c r="O96" s="104" t="s">
        <v>2106</v>
      </c>
      <c r="P96" s="89"/>
      <c r="Q96" s="104" t="s">
        <v>1906</v>
      </c>
      <c r="R96" s="104" t="s">
        <v>4069</v>
      </c>
      <c r="S96" s="104"/>
      <c r="T96" s="105" t="s">
        <v>2107</v>
      </c>
      <c r="U96" s="104" t="s">
        <v>1810</v>
      </c>
      <c r="V96" s="104" t="s">
        <v>2052</v>
      </c>
      <c r="W96" s="104" t="s">
        <v>4070</v>
      </c>
    </row>
    <row r="97" spans="1:23" ht="26.25" hidden="1" customHeight="1">
      <c r="A97" s="89"/>
      <c r="B97" s="89"/>
      <c r="C97" s="105"/>
      <c r="D97" s="128" t="s">
        <v>2103</v>
      </c>
      <c r="E97" s="104" t="s">
        <v>2119</v>
      </c>
      <c r="F97" s="89"/>
      <c r="G97" s="102"/>
      <c r="H97" s="112"/>
      <c r="I97" s="89"/>
      <c r="J97" s="89"/>
      <c r="K97" s="104" t="s">
        <v>2084</v>
      </c>
      <c r="L97" s="104" t="s">
        <v>2009</v>
      </c>
      <c r="M97" s="104" t="s">
        <v>1970</v>
      </c>
      <c r="N97" s="104"/>
      <c r="O97" s="89"/>
      <c r="P97" s="89"/>
      <c r="Q97" s="104" t="s">
        <v>1930</v>
      </c>
      <c r="R97" s="104" t="s">
        <v>2025</v>
      </c>
      <c r="S97" s="89"/>
      <c r="T97" s="104"/>
      <c r="U97" s="104" t="s">
        <v>1839</v>
      </c>
      <c r="V97" s="104" t="s">
        <v>2055</v>
      </c>
      <c r="W97" s="104" t="s">
        <v>2028</v>
      </c>
    </row>
    <row r="98" spans="1:23" ht="26.25" hidden="1" customHeight="1">
      <c r="A98" s="89"/>
      <c r="B98" s="89"/>
      <c r="C98" s="89"/>
      <c r="D98" s="104"/>
      <c r="E98" s="104"/>
      <c r="F98" s="89"/>
      <c r="G98" s="89"/>
      <c r="H98" s="112"/>
      <c r="I98" s="89"/>
      <c r="J98" s="89"/>
      <c r="K98" s="104"/>
      <c r="L98" s="104" t="s">
        <v>4071</v>
      </c>
      <c r="M98" s="105" t="s">
        <v>2070</v>
      </c>
      <c r="N98" s="89"/>
      <c r="O98" s="89"/>
      <c r="P98" s="89"/>
      <c r="Q98" s="104" t="s">
        <v>1929</v>
      </c>
      <c r="R98" s="105" t="s">
        <v>2107</v>
      </c>
      <c r="S98" s="89"/>
      <c r="T98" s="89"/>
      <c r="U98" s="104" t="s">
        <v>1917</v>
      </c>
      <c r="V98" s="104" t="s">
        <v>2064</v>
      </c>
      <c r="W98" s="89"/>
    </row>
    <row r="99" spans="1:23" ht="26.25" hidden="1" customHeight="1">
      <c r="A99" s="89"/>
      <c r="B99" s="89"/>
      <c r="C99" s="89"/>
      <c r="D99" s="89"/>
      <c r="E99" s="89"/>
      <c r="F99" s="89"/>
      <c r="G99" s="89"/>
      <c r="H99" s="112"/>
      <c r="I99" s="89"/>
      <c r="J99" s="89"/>
      <c r="K99" s="89"/>
      <c r="L99" s="104" t="s">
        <v>2024</v>
      </c>
      <c r="M99" s="104"/>
      <c r="N99" s="89"/>
      <c r="O99" s="89"/>
      <c r="P99" s="89"/>
      <c r="Q99" s="104" t="s">
        <v>1983</v>
      </c>
      <c r="R99" s="104"/>
      <c r="S99" s="89"/>
      <c r="T99" s="89"/>
      <c r="U99" s="104" t="s">
        <v>1932</v>
      </c>
      <c r="V99" s="104" t="s">
        <v>2087</v>
      </c>
      <c r="W99" s="89"/>
    </row>
    <row r="100" spans="1:23" ht="26.25" hidden="1" customHeight="1">
      <c r="A100" s="89"/>
      <c r="B100" s="89"/>
      <c r="C100" s="89"/>
      <c r="D100" s="89"/>
      <c r="E100" s="89"/>
      <c r="F100" s="89"/>
      <c r="G100" s="89"/>
      <c r="H100" s="112"/>
      <c r="I100" s="89"/>
      <c r="J100" s="89"/>
      <c r="K100" s="89"/>
      <c r="L100" s="104" t="s">
        <v>2023</v>
      </c>
      <c r="M100" s="89"/>
      <c r="N100" s="89"/>
      <c r="O100" s="89"/>
      <c r="P100" s="89"/>
      <c r="Q100" s="104" t="s">
        <v>1982</v>
      </c>
      <c r="R100" s="89"/>
      <c r="S100" s="89"/>
      <c r="T100" s="89"/>
      <c r="U100" s="104" t="s">
        <v>1952</v>
      </c>
      <c r="V100" s="104" t="s">
        <v>2120</v>
      </c>
      <c r="W100" s="89"/>
    </row>
    <row r="101" spans="1:23" ht="26.25" hidden="1" customHeight="1">
      <c r="A101" s="89"/>
      <c r="B101" s="89"/>
      <c r="C101" s="89"/>
      <c r="D101" s="89"/>
      <c r="E101" s="89"/>
      <c r="F101" s="89"/>
      <c r="G101" s="89"/>
      <c r="H101" s="112"/>
      <c r="I101" s="89"/>
      <c r="J101" s="89"/>
      <c r="K101" s="89"/>
      <c r="L101" s="104" t="s">
        <v>2043</v>
      </c>
      <c r="M101" s="89"/>
      <c r="N101" s="89"/>
      <c r="O101" s="89"/>
      <c r="P101" s="89"/>
      <c r="Q101" s="106" t="s">
        <v>1981</v>
      </c>
      <c r="R101" s="89"/>
      <c r="S101" s="89"/>
      <c r="T101" s="89"/>
      <c r="U101" s="104" t="s">
        <v>1951</v>
      </c>
      <c r="V101" s="104" t="s">
        <v>2132</v>
      </c>
      <c r="W101" s="89"/>
    </row>
    <row r="102" spans="1:23" ht="26.25" hidden="1" customHeight="1">
      <c r="A102" s="89"/>
      <c r="B102" s="89"/>
      <c r="C102" s="89"/>
      <c r="D102" s="89"/>
      <c r="E102" s="89"/>
      <c r="F102" s="89"/>
      <c r="G102" s="89"/>
      <c r="H102" s="112"/>
      <c r="I102" s="89"/>
      <c r="J102" s="89"/>
      <c r="K102" s="89"/>
      <c r="L102" s="104" t="s">
        <v>2048</v>
      </c>
      <c r="M102" s="89"/>
      <c r="N102" s="89"/>
      <c r="O102" s="89"/>
      <c r="P102" s="89"/>
      <c r="Q102" s="104" t="s">
        <v>1995</v>
      </c>
      <c r="R102" s="89"/>
      <c r="S102" s="89"/>
      <c r="T102" s="89"/>
      <c r="U102" s="104" t="s">
        <v>4072</v>
      </c>
      <c r="V102" s="89"/>
      <c r="W102" s="89"/>
    </row>
    <row r="103" spans="1:23" ht="26.25" hidden="1" customHeight="1">
      <c r="A103" s="89"/>
      <c r="B103" s="89"/>
      <c r="C103" s="89"/>
      <c r="D103" s="89"/>
      <c r="E103" s="89"/>
      <c r="F103" s="89"/>
      <c r="G103" s="89"/>
      <c r="H103" s="112"/>
      <c r="I103" s="89"/>
      <c r="J103" s="89"/>
      <c r="K103" s="89"/>
      <c r="L103" s="104" t="s">
        <v>2062</v>
      </c>
      <c r="M103" s="89"/>
      <c r="N103" s="89"/>
      <c r="O103" s="89"/>
      <c r="P103" s="89"/>
      <c r="Q103" s="104" t="s">
        <v>4073</v>
      </c>
      <c r="R103" s="89"/>
      <c r="S103" s="89"/>
      <c r="T103" s="89"/>
      <c r="U103" s="104" t="s">
        <v>4074</v>
      </c>
      <c r="V103" s="89"/>
      <c r="W103" s="89"/>
    </row>
    <row r="104" spans="1:23" ht="26.25" hidden="1" customHeight="1">
      <c r="A104" s="89"/>
      <c r="B104" s="89"/>
      <c r="C104" s="89"/>
      <c r="D104" s="89"/>
      <c r="E104" s="89"/>
      <c r="F104" s="89"/>
      <c r="G104" s="89"/>
      <c r="H104" s="112"/>
      <c r="I104" s="89"/>
      <c r="J104" s="89"/>
      <c r="K104" s="89"/>
      <c r="L104" s="104"/>
      <c r="M104" s="89"/>
      <c r="N104" s="89"/>
      <c r="O104" s="89"/>
      <c r="P104" s="89"/>
      <c r="Q104" s="105" t="s">
        <v>2099</v>
      </c>
      <c r="R104" s="89"/>
      <c r="S104" s="89"/>
      <c r="T104" s="89"/>
      <c r="U104" s="128" t="s">
        <v>2015</v>
      </c>
      <c r="V104" s="89"/>
      <c r="W104" s="89"/>
    </row>
    <row r="105" spans="1:23" ht="26.25" hidden="1" customHeight="1">
      <c r="A105" s="89"/>
      <c r="B105" s="89"/>
      <c r="C105" s="89"/>
      <c r="D105" s="89"/>
      <c r="E105" s="89"/>
      <c r="F105" s="89"/>
      <c r="G105" s="89"/>
      <c r="H105" s="112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104" t="s">
        <v>2029</v>
      </c>
      <c r="V105" s="89"/>
      <c r="W105" s="89"/>
    </row>
    <row r="106" spans="1:23" ht="26.25" hidden="1" customHeight="1">
      <c r="A106" s="89"/>
      <c r="B106" s="89"/>
      <c r="C106" s="89"/>
      <c r="D106" s="89"/>
      <c r="E106" s="89"/>
      <c r="F106" s="89"/>
      <c r="G106" s="89"/>
      <c r="H106" s="112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104" t="s">
        <v>4075</v>
      </c>
      <c r="V106" s="89"/>
      <c r="W106" s="89"/>
    </row>
    <row r="107" spans="1:23" ht="26.25" hidden="1" customHeight="1">
      <c r="A107" s="89"/>
      <c r="B107" s="89"/>
      <c r="C107" s="89"/>
      <c r="D107" s="89"/>
      <c r="E107" s="89"/>
      <c r="F107" s="89"/>
      <c r="G107" s="89"/>
      <c r="H107" s="112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104" t="s">
        <v>2051</v>
      </c>
      <c r="V107" s="89"/>
      <c r="W107" s="89"/>
    </row>
    <row r="108" spans="1:23" ht="26.25" hidden="1" customHeight="1">
      <c r="A108" s="89"/>
      <c r="B108" s="89"/>
      <c r="C108" s="89"/>
      <c r="D108" s="89"/>
      <c r="E108" s="89"/>
      <c r="F108" s="89"/>
      <c r="G108" s="89"/>
      <c r="H108" s="112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109" t="s">
        <v>2050</v>
      </c>
      <c r="V108" s="89"/>
      <c r="W108" s="89"/>
    </row>
    <row r="109" spans="1:23" ht="26.25" hidden="1" customHeight="1">
      <c r="A109" s="89"/>
      <c r="B109" s="89"/>
      <c r="C109" s="89"/>
      <c r="D109" s="89"/>
      <c r="E109" s="89"/>
      <c r="F109" s="89"/>
      <c r="G109" s="89"/>
      <c r="H109" s="112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104" t="s">
        <v>2086</v>
      </c>
      <c r="V109" s="89"/>
      <c r="W109" s="89"/>
    </row>
    <row r="110" spans="1:23" ht="26.25" hidden="1" customHeight="1">
      <c r="A110" s="89"/>
      <c r="B110" s="89"/>
      <c r="C110" s="89"/>
      <c r="D110" s="89"/>
      <c r="E110" s="89"/>
      <c r="F110" s="89"/>
      <c r="G110" s="89"/>
      <c r="H110" s="112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104" t="s">
        <v>2097</v>
      </c>
      <c r="V110" s="89"/>
      <c r="W110" s="89"/>
    </row>
    <row r="111" spans="1:23" ht="26.25" hidden="1" customHeight="1">
      <c r="A111" s="89"/>
      <c r="B111" s="89"/>
      <c r="C111" s="89"/>
      <c r="D111" s="89"/>
      <c r="E111" s="89"/>
      <c r="F111" s="89"/>
      <c r="G111" s="89"/>
      <c r="H111" s="112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104" t="s">
        <v>2108</v>
      </c>
      <c r="V111" s="89"/>
      <c r="W111" s="89"/>
    </row>
    <row r="112" spans="1:23" s="122" customFormat="1" ht="26.25" hidden="1" customHeight="1">
      <c r="A112" s="118"/>
      <c r="B112" s="118"/>
      <c r="C112" s="118"/>
      <c r="D112" s="118"/>
      <c r="E112" s="118"/>
      <c r="F112" s="118"/>
      <c r="G112" s="118"/>
      <c r="H112" s="119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 t="s">
        <v>2131</v>
      </c>
      <c r="V112" s="118"/>
      <c r="W112" s="118"/>
    </row>
    <row r="113" spans="1:23" ht="26.25" hidden="1" customHeight="1">
      <c r="A113" s="105" t="s">
        <v>2272</v>
      </c>
      <c r="B113" s="105" t="s">
        <v>2245</v>
      </c>
      <c r="C113" s="105" t="s">
        <v>2272</v>
      </c>
      <c r="D113" s="104" t="s">
        <v>2158</v>
      </c>
      <c r="E113" s="104" t="s">
        <v>2139</v>
      </c>
      <c r="F113" s="105" t="s">
        <v>2245</v>
      </c>
      <c r="G113" s="105" t="s">
        <v>2245</v>
      </c>
      <c r="H113" s="105" t="s">
        <v>2337</v>
      </c>
      <c r="I113" s="104" t="s">
        <v>2216</v>
      </c>
      <c r="J113" s="104" t="s">
        <v>2216</v>
      </c>
      <c r="K113" s="104" t="s">
        <v>4076</v>
      </c>
      <c r="L113" s="104" t="s">
        <v>4077</v>
      </c>
      <c r="M113" s="104" t="s">
        <v>2208</v>
      </c>
      <c r="N113" s="104" t="s">
        <v>2105</v>
      </c>
      <c r="O113" s="104" t="s">
        <v>2151</v>
      </c>
      <c r="P113" s="89"/>
      <c r="Q113" s="104" t="s">
        <v>2335</v>
      </c>
      <c r="R113" s="104" t="s">
        <v>2313</v>
      </c>
      <c r="S113" s="104" t="s">
        <v>2314</v>
      </c>
      <c r="T113" s="104" t="s">
        <v>2314</v>
      </c>
      <c r="U113" s="104" t="s">
        <v>2138</v>
      </c>
      <c r="V113" s="104" t="s">
        <v>2207</v>
      </c>
      <c r="W113" s="104" t="s">
        <v>2170</v>
      </c>
    </row>
    <row r="114" spans="1:23" ht="26.25" hidden="1" customHeight="1">
      <c r="A114" s="104"/>
      <c r="B114" s="104" t="s">
        <v>2338</v>
      </c>
      <c r="C114" s="104" t="s">
        <v>2329</v>
      </c>
      <c r="D114" s="104" t="s">
        <v>2169</v>
      </c>
      <c r="E114" s="104" t="s">
        <v>2174</v>
      </c>
      <c r="F114" s="104" t="s">
        <v>2273</v>
      </c>
      <c r="G114" s="104" t="s">
        <v>2269</v>
      </c>
      <c r="H114" s="107" t="s">
        <v>2357</v>
      </c>
      <c r="I114" s="106" t="s">
        <v>2230</v>
      </c>
      <c r="J114" s="104" t="s">
        <v>2247</v>
      </c>
      <c r="K114" s="104" t="s">
        <v>2149</v>
      </c>
      <c r="L114" s="104" t="s">
        <v>2150</v>
      </c>
      <c r="M114" s="104" t="s">
        <v>2218</v>
      </c>
      <c r="N114" s="104" t="s">
        <v>2160</v>
      </c>
      <c r="O114" s="106" t="s">
        <v>2161</v>
      </c>
      <c r="P114" s="89"/>
      <c r="Q114" s="104" t="s">
        <v>2320</v>
      </c>
      <c r="R114" s="104" t="s">
        <v>2360</v>
      </c>
      <c r="S114" s="104" t="s">
        <v>2320</v>
      </c>
      <c r="T114" s="104" t="s">
        <v>2320</v>
      </c>
      <c r="U114" s="104" t="s">
        <v>2152</v>
      </c>
      <c r="V114" s="104" t="s">
        <v>2232</v>
      </c>
      <c r="W114" s="104" t="s">
        <v>2171</v>
      </c>
    </row>
    <row r="115" spans="1:23" ht="26.25" hidden="1" customHeight="1">
      <c r="A115" s="89"/>
      <c r="B115" s="104"/>
      <c r="C115" s="104" t="s">
        <v>2430</v>
      </c>
      <c r="D115" s="104" t="s">
        <v>2214</v>
      </c>
      <c r="E115" s="104" t="s">
        <v>2202</v>
      </c>
      <c r="F115" s="104" t="s">
        <v>2277</v>
      </c>
      <c r="G115" s="104" t="s">
        <v>2270</v>
      </c>
      <c r="H115" s="107" t="s">
        <v>2365</v>
      </c>
      <c r="I115" s="104" t="s">
        <v>2263</v>
      </c>
      <c r="J115" s="104" t="s">
        <v>2267</v>
      </c>
      <c r="K115" s="104" t="s">
        <v>2184</v>
      </c>
      <c r="L115" s="104" t="s">
        <v>2159</v>
      </c>
      <c r="M115" s="104" t="s">
        <v>2231</v>
      </c>
      <c r="N115" s="104" t="s">
        <v>2206</v>
      </c>
      <c r="O115" s="104" t="s">
        <v>2168</v>
      </c>
      <c r="P115" s="89"/>
      <c r="Q115" s="104"/>
      <c r="R115" s="104"/>
      <c r="S115" s="104"/>
      <c r="T115" s="104"/>
      <c r="U115" s="104" t="s">
        <v>2162</v>
      </c>
      <c r="V115" s="104" t="s">
        <v>2192</v>
      </c>
      <c r="W115" s="104" t="s">
        <v>2176</v>
      </c>
    </row>
    <row r="116" spans="1:23" ht="26.25" hidden="1" customHeight="1">
      <c r="A116" s="89"/>
      <c r="B116" s="89"/>
      <c r="C116" s="104" t="s">
        <v>2429</v>
      </c>
      <c r="D116" s="104" t="s">
        <v>2262</v>
      </c>
      <c r="E116" s="104" t="s">
        <v>2201</v>
      </c>
      <c r="F116" s="104" t="s">
        <v>2278</v>
      </c>
      <c r="G116" s="104" t="s">
        <v>2294</v>
      </c>
      <c r="H116" s="104" t="s">
        <v>2372</v>
      </c>
      <c r="I116" s="104" t="s">
        <v>2271</v>
      </c>
      <c r="J116" s="104" t="s">
        <v>2268</v>
      </c>
      <c r="K116" s="104" t="s">
        <v>2204</v>
      </c>
      <c r="L116" s="104" t="s">
        <v>2157</v>
      </c>
      <c r="M116" s="104" t="s">
        <v>2242</v>
      </c>
      <c r="N116" s="104" t="s">
        <v>2309</v>
      </c>
      <c r="O116" s="104" t="s">
        <v>2265</v>
      </c>
      <c r="P116" s="89"/>
      <c r="Q116" s="89"/>
      <c r="R116" s="89"/>
      <c r="S116" s="89"/>
      <c r="T116" s="89"/>
      <c r="U116" s="106" t="s">
        <v>2163</v>
      </c>
      <c r="V116" s="104" t="s">
        <v>4078</v>
      </c>
      <c r="W116" s="104" t="s">
        <v>2190</v>
      </c>
    </row>
    <row r="117" spans="1:23" ht="26.25" hidden="1" customHeight="1">
      <c r="A117" s="89"/>
      <c r="B117" s="89"/>
      <c r="C117" s="104" t="s">
        <v>2453</v>
      </c>
      <c r="D117" s="104" t="s">
        <v>2284</v>
      </c>
      <c r="E117" s="104" t="s">
        <v>2203</v>
      </c>
      <c r="F117" s="104" t="s">
        <v>2293</v>
      </c>
      <c r="G117" s="104" t="s">
        <v>2311</v>
      </c>
      <c r="H117" s="104" t="s">
        <v>2471</v>
      </c>
      <c r="I117" s="104" t="s">
        <v>2295</v>
      </c>
      <c r="J117" s="104" t="s">
        <v>2296</v>
      </c>
      <c r="K117" s="106" t="s">
        <v>2217</v>
      </c>
      <c r="L117" s="104" t="s">
        <v>2175</v>
      </c>
      <c r="M117" s="104" t="s">
        <v>2249</v>
      </c>
      <c r="N117" s="104" t="s">
        <v>2342</v>
      </c>
      <c r="O117" s="104" t="s">
        <v>2334</v>
      </c>
      <c r="P117" s="89"/>
      <c r="Q117" s="89"/>
      <c r="R117" s="89"/>
      <c r="S117" s="89"/>
      <c r="T117" s="89"/>
      <c r="U117" s="104" t="s">
        <v>2186</v>
      </c>
      <c r="V117" s="104"/>
      <c r="W117" s="104" t="s">
        <v>2191</v>
      </c>
    </row>
    <row r="118" spans="1:23" ht="26.25" hidden="1" customHeight="1">
      <c r="A118" s="89"/>
      <c r="B118" s="89"/>
      <c r="C118" s="104" t="s">
        <v>2454</v>
      </c>
      <c r="D118" s="104" t="s">
        <v>2285</v>
      </c>
      <c r="E118" s="104" t="s">
        <v>2185</v>
      </c>
      <c r="F118" s="104" t="s">
        <v>2307</v>
      </c>
      <c r="G118" s="104" t="s">
        <v>2331</v>
      </c>
      <c r="H118" s="104"/>
      <c r="I118" s="104" t="s">
        <v>2312</v>
      </c>
      <c r="J118" s="104" t="s">
        <v>2332</v>
      </c>
      <c r="K118" s="104" t="s">
        <v>4079</v>
      </c>
      <c r="L118" s="104" t="s">
        <v>2205</v>
      </c>
      <c r="M118" s="104" t="s">
        <v>2264</v>
      </c>
      <c r="N118" s="106" t="s">
        <v>4080</v>
      </c>
      <c r="O118" s="104" t="s">
        <v>2360</v>
      </c>
      <c r="P118" s="89"/>
      <c r="Q118" s="89"/>
      <c r="R118" s="89"/>
      <c r="S118" s="89"/>
      <c r="T118" s="89"/>
      <c r="U118" s="104" t="s">
        <v>2219</v>
      </c>
      <c r="V118" s="89"/>
      <c r="W118" s="104" t="s">
        <v>2220</v>
      </c>
    </row>
    <row r="119" spans="1:23" ht="26.25" hidden="1" customHeight="1">
      <c r="A119" s="89"/>
      <c r="B119" s="89"/>
      <c r="C119" s="104" t="s">
        <v>2455</v>
      </c>
      <c r="D119" s="104" t="s">
        <v>2306</v>
      </c>
      <c r="E119" s="104" t="s">
        <v>2215</v>
      </c>
      <c r="F119" s="104" t="s">
        <v>2300</v>
      </c>
      <c r="G119" s="104" t="s">
        <v>2356</v>
      </c>
      <c r="H119" s="112"/>
      <c r="I119" s="104" t="s">
        <v>2358</v>
      </c>
      <c r="J119" s="104" t="s">
        <v>2340</v>
      </c>
      <c r="K119" s="104" t="s">
        <v>2274</v>
      </c>
      <c r="L119" s="104" t="s">
        <v>2248</v>
      </c>
      <c r="M119" s="104" t="s">
        <v>2276</v>
      </c>
      <c r="N119" s="104" t="s">
        <v>2476</v>
      </c>
      <c r="O119" s="104"/>
      <c r="P119" s="89"/>
      <c r="Q119" s="89"/>
      <c r="R119" s="89"/>
      <c r="S119" s="89"/>
      <c r="T119" s="89"/>
      <c r="U119" s="106" t="s">
        <v>4081</v>
      </c>
      <c r="V119" s="89"/>
      <c r="W119" s="104" t="s">
        <v>2375</v>
      </c>
    </row>
    <row r="120" spans="1:23" ht="26.25" hidden="1" customHeight="1">
      <c r="A120" s="89"/>
      <c r="B120" s="89"/>
      <c r="C120" s="104" t="s">
        <v>2467</v>
      </c>
      <c r="D120" s="104" t="s">
        <v>2355</v>
      </c>
      <c r="E120" s="104" t="s">
        <v>2238</v>
      </c>
      <c r="F120" s="104" t="s">
        <v>2310</v>
      </c>
      <c r="G120" s="104" t="s">
        <v>2368</v>
      </c>
      <c r="H120" s="112"/>
      <c r="I120" s="107" t="s">
        <v>2468</v>
      </c>
      <c r="J120" s="104" t="s">
        <v>2396</v>
      </c>
      <c r="K120" s="104" t="s">
        <v>2354</v>
      </c>
      <c r="L120" s="104" t="s">
        <v>2275</v>
      </c>
      <c r="M120" s="104" t="s">
        <v>2321</v>
      </c>
      <c r="N120" s="116" t="s">
        <v>2474</v>
      </c>
      <c r="O120" s="89"/>
      <c r="P120" s="89"/>
      <c r="Q120" s="89"/>
      <c r="R120" s="89"/>
      <c r="S120" s="89"/>
      <c r="T120" s="89"/>
      <c r="U120" s="104" t="s">
        <v>2250</v>
      </c>
      <c r="V120" s="89"/>
      <c r="W120" s="104" t="s">
        <v>2404</v>
      </c>
    </row>
    <row r="121" spans="1:23" ht="26.25" hidden="1" customHeight="1">
      <c r="A121" s="89"/>
      <c r="B121" s="89"/>
      <c r="C121" s="104"/>
      <c r="D121" s="104" t="s">
        <v>2366</v>
      </c>
      <c r="E121" s="104" t="s">
        <v>2241</v>
      </c>
      <c r="F121" s="104" t="s">
        <v>2330</v>
      </c>
      <c r="G121" s="104" t="s">
        <v>4082</v>
      </c>
      <c r="H121" s="112"/>
      <c r="I121" s="104"/>
      <c r="J121" s="104" t="s">
        <v>2470</v>
      </c>
      <c r="K121" s="104" t="s">
        <v>2373</v>
      </c>
      <c r="L121" s="104" t="s">
        <v>2308</v>
      </c>
      <c r="M121" s="104" t="s">
        <v>2341</v>
      </c>
      <c r="N121" s="89"/>
      <c r="O121" s="89"/>
      <c r="P121" s="89"/>
      <c r="Q121" s="89"/>
      <c r="R121" s="89"/>
      <c r="S121" s="89"/>
      <c r="T121" s="89"/>
      <c r="U121" s="104" t="s">
        <v>2297</v>
      </c>
      <c r="V121" s="89"/>
      <c r="W121" s="104" t="s">
        <v>2420</v>
      </c>
    </row>
    <row r="122" spans="1:23" ht="26.25" hidden="1" customHeight="1">
      <c r="A122" s="89"/>
      <c r="B122" s="89"/>
      <c r="C122" s="89"/>
      <c r="D122" s="104" t="s">
        <v>2371</v>
      </c>
      <c r="E122" s="104" t="s">
        <v>2239</v>
      </c>
      <c r="F122" s="104" t="s">
        <v>2336</v>
      </c>
      <c r="G122" s="106"/>
      <c r="H122" s="112" t="s">
        <v>2172</v>
      </c>
      <c r="I122" s="89"/>
      <c r="J122" s="104"/>
      <c r="K122" s="104" t="s">
        <v>2407</v>
      </c>
      <c r="L122" s="104" t="s">
        <v>2333</v>
      </c>
      <c r="M122" s="104" t="s">
        <v>2322</v>
      </c>
      <c r="N122" s="89"/>
      <c r="O122" s="89"/>
      <c r="P122" s="89"/>
      <c r="Q122" s="89"/>
      <c r="R122" s="89"/>
      <c r="S122" s="89"/>
      <c r="T122" s="89"/>
      <c r="U122" s="104" t="s">
        <v>2367</v>
      </c>
      <c r="V122" s="89"/>
      <c r="W122" s="104" t="s">
        <v>2438</v>
      </c>
    </row>
    <row r="123" spans="1:23" ht="26.25" hidden="1" customHeight="1">
      <c r="A123" s="89"/>
      <c r="B123" s="89"/>
      <c r="C123" s="89"/>
      <c r="D123" s="104" t="s">
        <v>4083</v>
      </c>
      <c r="E123" s="104" t="s">
        <v>2246</v>
      </c>
      <c r="F123" s="104" t="s">
        <v>2339</v>
      </c>
      <c r="G123" s="89"/>
      <c r="H123" s="112"/>
      <c r="I123" s="89"/>
      <c r="J123" s="89"/>
      <c r="K123" s="104"/>
      <c r="L123" s="104" t="s">
        <v>2353</v>
      </c>
      <c r="M123" s="104" t="s">
        <v>2359</v>
      </c>
      <c r="N123" s="89"/>
      <c r="O123" s="89"/>
      <c r="P123" s="89"/>
      <c r="Q123" s="89"/>
      <c r="R123" s="89"/>
      <c r="S123" s="89"/>
      <c r="T123" s="89"/>
      <c r="U123" s="104"/>
      <c r="V123" s="89"/>
      <c r="W123" s="104" t="s">
        <v>2452</v>
      </c>
    </row>
    <row r="124" spans="1:23" ht="26.25" hidden="1" customHeight="1">
      <c r="A124" s="89"/>
      <c r="B124" s="89"/>
      <c r="C124" s="89"/>
      <c r="D124" s="104" t="s">
        <v>2417</v>
      </c>
      <c r="E124" s="104" t="s">
        <v>2292</v>
      </c>
      <c r="F124" s="104" t="s">
        <v>2348</v>
      </c>
      <c r="G124" s="89"/>
      <c r="H124" s="112"/>
      <c r="I124" s="89"/>
      <c r="J124" s="89"/>
      <c r="K124" s="89"/>
      <c r="L124" s="104" t="s">
        <v>4084</v>
      </c>
      <c r="M124" s="104" t="s">
        <v>2374</v>
      </c>
      <c r="N124" s="89"/>
      <c r="O124" s="89"/>
      <c r="P124" s="89"/>
      <c r="Q124" s="89"/>
      <c r="R124" s="89"/>
      <c r="S124" s="89"/>
      <c r="T124" s="89"/>
      <c r="U124" s="89"/>
      <c r="V124" s="89"/>
      <c r="W124" s="104" t="s">
        <v>2456</v>
      </c>
    </row>
    <row r="125" spans="1:23" ht="26.25" hidden="1" customHeight="1">
      <c r="A125" s="89"/>
      <c r="B125" s="89"/>
      <c r="C125" s="89"/>
      <c r="D125" s="106" t="s">
        <v>2425</v>
      </c>
      <c r="E125" s="104" t="s">
        <v>2376</v>
      </c>
      <c r="F125" s="104" t="s">
        <v>2408</v>
      </c>
      <c r="G125" s="89"/>
      <c r="H125" s="112"/>
      <c r="I125" s="89"/>
      <c r="J125" s="89"/>
      <c r="K125" s="89"/>
      <c r="L125" s="104" t="s">
        <v>2395</v>
      </c>
      <c r="M125" s="104" t="s">
        <v>2400</v>
      </c>
      <c r="N125" s="89"/>
      <c r="O125" s="89"/>
      <c r="P125" s="89"/>
      <c r="Q125" s="89"/>
      <c r="R125" s="89"/>
      <c r="S125" s="89"/>
      <c r="T125" s="89"/>
      <c r="U125" s="89"/>
      <c r="V125" s="89"/>
      <c r="W125" s="104"/>
    </row>
    <row r="126" spans="1:23" ht="26.25" hidden="1" customHeight="1">
      <c r="A126" s="89"/>
      <c r="B126" s="89"/>
      <c r="C126" s="89"/>
      <c r="D126" s="106" t="s">
        <v>2426</v>
      </c>
      <c r="E126" s="104" t="s">
        <v>2409</v>
      </c>
      <c r="F126" s="104" t="s">
        <v>2418</v>
      </c>
      <c r="G126" s="89"/>
      <c r="H126" s="112"/>
      <c r="I126" s="89"/>
      <c r="J126" s="89"/>
      <c r="K126" s="89"/>
      <c r="L126" s="104" t="s">
        <v>2406</v>
      </c>
      <c r="M126" s="104" t="s">
        <v>2405</v>
      </c>
      <c r="N126" s="89"/>
      <c r="O126" s="89"/>
      <c r="P126" s="89"/>
      <c r="Q126" s="89"/>
      <c r="R126" s="89"/>
      <c r="S126" s="89"/>
      <c r="T126" s="89"/>
      <c r="U126" s="89"/>
      <c r="V126" s="89"/>
      <c r="W126" s="89"/>
    </row>
    <row r="127" spans="1:23" ht="26.25" hidden="1" customHeight="1">
      <c r="A127" s="89"/>
      <c r="B127" s="89"/>
      <c r="C127" s="89"/>
      <c r="D127" s="106" t="s">
        <v>2433</v>
      </c>
      <c r="E127" s="104" t="s">
        <v>2434</v>
      </c>
      <c r="F127" s="104" t="s">
        <v>2435</v>
      </c>
      <c r="G127" s="89"/>
      <c r="H127" s="112"/>
      <c r="I127" s="89"/>
      <c r="J127" s="89"/>
      <c r="K127" s="89"/>
      <c r="L127" s="104" t="s">
        <v>2436</v>
      </c>
      <c r="M127" s="104" t="s">
        <v>2419</v>
      </c>
      <c r="N127" s="89"/>
      <c r="O127" s="89"/>
      <c r="P127" s="89"/>
      <c r="Q127" s="89"/>
      <c r="R127" s="89"/>
      <c r="S127" s="89"/>
      <c r="T127" s="89"/>
      <c r="U127" s="89"/>
      <c r="V127" s="89"/>
      <c r="W127" s="116"/>
    </row>
    <row r="128" spans="1:23" ht="26.25" hidden="1" customHeight="1">
      <c r="A128" s="89"/>
      <c r="B128" s="89"/>
      <c r="C128" s="89"/>
      <c r="D128" s="104" t="s">
        <v>2439</v>
      </c>
      <c r="E128" s="106" t="s">
        <v>2448</v>
      </c>
      <c r="F128" s="104" t="s">
        <v>2451</v>
      </c>
      <c r="G128" s="89"/>
      <c r="H128" s="112"/>
      <c r="I128" s="89"/>
      <c r="J128" s="89"/>
      <c r="K128" s="89"/>
      <c r="L128" s="104"/>
      <c r="M128" s="104" t="s">
        <v>2437</v>
      </c>
      <c r="N128" s="89"/>
      <c r="O128" s="89"/>
      <c r="P128" s="89"/>
      <c r="Q128" s="89"/>
      <c r="R128" s="89"/>
      <c r="S128" s="89"/>
      <c r="T128" s="89"/>
      <c r="U128" s="89"/>
      <c r="V128" s="89"/>
      <c r="W128" s="89"/>
    </row>
    <row r="129" spans="1:23" ht="26.25" hidden="1" customHeight="1">
      <c r="A129" s="89"/>
      <c r="B129" s="89"/>
      <c r="C129" s="89"/>
      <c r="D129" s="104"/>
      <c r="E129" s="106" t="s">
        <v>2449</v>
      </c>
      <c r="F129" s="104" t="s">
        <v>2469</v>
      </c>
      <c r="G129" s="89"/>
      <c r="H129" s="112"/>
      <c r="I129" s="89"/>
      <c r="J129" s="89"/>
      <c r="K129" s="89"/>
      <c r="L129" s="89"/>
      <c r="M129" s="104"/>
      <c r="N129" s="89"/>
      <c r="O129" s="89"/>
      <c r="P129" s="89"/>
      <c r="Q129" s="89"/>
      <c r="R129" s="89"/>
      <c r="S129" s="89"/>
      <c r="T129" s="89"/>
      <c r="U129" s="89"/>
      <c r="V129" s="89"/>
      <c r="W129" s="89"/>
    </row>
    <row r="130" spans="1:23" ht="26.25" hidden="1" customHeight="1">
      <c r="A130" s="89"/>
      <c r="B130" s="89"/>
      <c r="C130" s="89"/>
      <c r="D130" s="89"/>
      <c r="E130" s="104"/>
      <c r="F130" s="104" t="s">
        <v>2472</v>
      </c>
      <c r="G130" s="89"/>
      <c r="H130" s="112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</row>
    <row r="131" spans="1:23" s="111" customFormat="1" ht="26.25" hidden="1" customHeight="1">
      <c r="A131" s="110"/>
      <c r="B131" s="110"/>
      <c r="C131" s="110"/>
      <c r="D131" s="110"/>
      <c r="E131" s="110"/>
      <c r="F131" s="110" t="s">
        <v>2473</v>
      </c>
      <c r="G131" s="110"/>
      <c r="H131" s="113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</row>
    <row r="132" spans="1:23" ht="26.25" hidden="1" customHeight="1">
      <c r="A132" s="104" t="s">
        <v>4085</v>
      </c>
      <c r="B132" s="104" t="s">
        <v>4086</v>
      </c>
      <c r="C132" s="104" t="s">
        <v>4087</v>
      </c>
      <c r="D132" s="104" t="s">
        <v>2501</v>
      </c>
      <c r="E132" s="104" t="s">
        <v>2548</v>
      </c>
      <c r="F132" s="104" t="s">
        <v>2475</v>
      </c>
      <c r="G132" s="106" t="s">
        <v>2480</v>
      </c>
      <c r="H132" s="104" t="s">
        <v>2595</v>
      </c>
      <c r="I132" s="104" t="s">
        <v>2518</v>
      </c>
      <c r="J132" s="104" t="s">
        <v>2559</v>
      </c>
      <c r="K132" s="104" t="s">
        <v>2525</v>
      </c>
      <c r="L132" s="104" t="s">
        <v>2560</v>
      </c>
      <c r="M132" s="104" t="s">
        <v>2494</v>
      </c>
      <c r="N132" s="106" t="s">
        <v>2474</v>
      </c>
      <c r="O132" s="104" t="s">
        <v>2477</v>
      </c>
      <c r="P132" s="104" t="s">
        <v>2619</v>
      </c>
      <c r="Q132" s="104" t="s">
        <v>2536</v>
      </c>
      <c r="R132" s="104" t="s">
        <v>2546</v>
      </c>
      <c r="S132" s="104" t="s">
        <v>2543</v>
      </c>
      <c r="T132" s="104" t="s">
        <v>2579</v>
      </c>
      <c r="U132" s="104" t="s">
        <v>2554</v>
      </c>
      <c r="V132" s="104" t="s">
        <v>2554</v>
      </c>
      <c r="W132" s="104" t="s">
        <v>2495</v>
      </c>
    </row>
    <row r="133" spans="1:23" ht="26.25" hidden="1" customHeight="1">
      <c r="A133" s="104" t="s">
        <v>2520</v>
      </c>
      <c r="B133" s="104" t="s">
        <v>2626</v>
      </c>
      <c r="C133" s="104" t="s">
        <v>2582</v>
      </c>
      <c r="D133" s="106" t="s">
        <v>2505</v>
      </c>
      <c r="E133" s="104" t="s">
        <v>2549</v>
      </c>
      <c r="F133" s="104" t="s">
        <v>2478</v>
      </c>
      <c r="G133" s="104" t="s">
        <v>2493</v>
      </c>
      <c r="H133" s="107" t="s">
        <v>2602</v>
      </c>
      <c r="I133" s="104" t="s">
        <v>4088</v>
      </c>
      <c r="J133" s="104" t="s">
        <v>2616</v>
      </c>
      <c r="K133" s="104" t="s">
        <v>2580</v>
      </c>
      <c r="L133" s="104" t="s">
        <v>2570</v>
      </c>
      <c r="M133" s="106" t="s">
        <v>2450</v>
      </c>
      <c r="N133" s="104" t="s">
        <v>2561</v>
      </c>
      <c r="O133" s="104" t="s">
        <v>2524</v>
      </c>
      <c r="P133" s="104" t="s">
        <v>2723</v>
      </c>
      <c r="Q133" s="104" t="s">
        <v>2589</v>
      </c>
      <c r="R133" s="106" t="s">
        <v>2553</v>
      </c>
      <c r="S133" s="104" t="s">
        <v>2597</v>
      </c>
      <c r="T133" s="104" t="s">
        <v>2596</v>
      </c>
      <c r="U133" s="104" t="s">
        <v>2783</v>
      </c>
      <c r="V133" s="104" t="s">
        <v>2771</v>
      </c>
      <c r="W133" s="104" t="s">
        <v>2491</v>
      </c>
    </row>
    <row r="134" spans="1:23" ht="26.25" hidden="1" customHeight="1">
      <c r="A134" s="104" t="s">
        <v>2521</v>
      </c>
      <c r="B134" s="104" t="s">
        <v>4089</v>
      </c>
      <c r="C134" s="104" t="s">
        <v>2584</v>
      </c>
      <c r="D134" s="104" t="s">
        <v>2557</v>
      </c>
      <c r="E134" s="106" t="s">
        <v>2558</v>
      </c>
      <c r="F134" s="104" t="s">
        <v>2516</v>
      </c>
      <c r="G134" s="104" t="s">
        <v>2519</v>
      </c>
      <c r="H134" s="107" t="s">
        <v>2642</v>
      </c>
      <c r="I134" s="104" t="s">
        <v>2575</v>
      </c>
      <c r="J134" s="104" t="s">
        <v>4090</v>
      </c>
      <c r="K134" s="104" t="s">
        <v>2654</v>
      </c>
      <c r="L134" s="104" t="s">
        <v>2587</v>
      </c>
      <c r="M134" s="106" t="s">
        <v>2492</v>
      </c>
      <c r="N134" s="106" t="s">
        <v>2556</v>
      </c>
      <c r="O134" s="104" t="s">
        <v>2535</v>
      </c>
      <c r="P134" s="104" t="s">
        <v>2724</v>
      </c>
      <c r="Q134" s="106" t="s">
        <v>2563</v>
      </c>
      <c r="R134" s="104" t="s">
        <v>2905</v>
      </c>
      <c r="S134" s="104" t="s">
        <v>2682</v>
      </c>
      <c r="T134" s="104" t="s">
        <v>2783</v>
      </c>
      <c r="U134" s="104" t="s">
        <v>2829</v>
      </c>
      <c r="V134" s="104" t="s">
        <v>2829</v>
      </c>
      <c r="W134" s="106" t="s">
        <v>2522</v>
      </c>
    </row>
    <row r="135" spans="1:23" ht="26.25" hidden="1" customHeight="1">
      <c r="A135" s="104" t="s">
        <v>2598</v>
      </c>
      <c r="B135" s="104" t="s">
        <v>2922</v>
      </c>
      <c r="C135" s="104" t="s">
        <v>2585</v>
      </c>
      <c r="D135" s="104" t="s">
        <v>2569</v>
      </c>
      <c r="E135" s="106" t="s">
        <v>2550</v>
      </c>
      <c r="F135" s="104" t="s">
        <v>2515</v>
      </c>
      <c r="G135" s="104" t="s">
        <v>2517</v>
      </c>
      <c r="H135" s="107" t="s">
        <v>4091</v>
      </c>
      <c r="I135" s="104" t="s">
        <v>2603</v>
      </c>
      <c r="J135" s="104" t="s">
        <v>2662</v>
      </c>
      <c r="K135" s="104" t="s">
        <v>2722</v>
      </c>
      <c r="L135" s="106" t="s">
        <v>2604</v>
      </c>
      <c r="M135" s="104" t="s">
        <v>2479</v>
      </c>
      <c r="N135" s="104" t="s">
        <v>2605</v>
      </c>
      <c r="O135" s="104" t="s">
        <v>2562</v>
      </c>
      <c r="P135" s="104" t="s">
        <v>4092</v>
      </c>
      <c r="Q135" s="104" t="s">
        <v>2630</v>
      </c>
      <c r="R135" s="104" t="s">
        <v>2898</v>
      </c>
      <c r="S135" s="107" t="s">
        <v>2747</v>
      </c>
      <c r="T135" s="104" t="s">
        <v>2874</v>
      </c>
      <c r="U135" s="104" t="s">
        <v>2904</v>
      </c>
      <c r="V135" s="104" t="s">
        <v>4093</v>
      </c>
      <c r="W135" s="104" t="s">
        <v>2538</v>
      </c>
    </row>
    <row r="136" spans="1:23" ht="26.25" hidden="1" customHeight="1">
      <c r="A136" s="104" t="s">
        <v>2669</v>
      </c>
      <c r="B136" s="106" t="s">
        <v>2923</v>
      </c>
      <c r="C136" s="104" t="s">
        <v>2685</v>
      </c>
      <c r="D136" s="104" t="s">
        <v>2583</v>
      </c>
      <c r="E136" s="104" t="s">
        <v>2586</v>
      </c>
      <c r="F136" s="104" t="s">
        <v>2924</v>
      </c>
      <c r="G136" s="104" t="s">
        <v>2687</v>
      </c>
      <c r="H136" s="104" t="s">
        <v>2693</v>
      </c>
      <c r="I136" s="107" t="s">
        <v>2665</v>
      </c>
      <c r="J136" s="104" t="s">
        <v>4094</v>
      </c>
      <c r="K136" s="104" t="s">
        <v>2739</v>
      </c>
      <c r="L136" s="104" t="s">
        <v>2617</v>
      </c>
      <c r="M136" s="129" t="s">
        <v>2502</v>
      </c>
      <c r="N136" s="104" t="s">
        <v>4095</v>
      </c>
      <c r="O136" s="104" t="s">
        <v>2552</v>
      </c>
      <c r="P136" s="104" t="s">
        <v>2768</v>
      </c>
      <c r="Q136" s="106" t="s">
        <v>2637</v>
      </c>
      <c r="R136" s="106" t="s">
        <v>2964</v>
      </c>
      <c r="S136" s="104" t="s">
        <v>2846</v>
      </c>
      <c r="T136" s="104" t="s">
        <v>2908</v>
      </c>
      <c r="U136" s="104" t="s">
        <v>4096</v>
      </c>
      <c r="V136" s="104" t="s">
        <v>2976</v>
      </c>
      <c r="W136" s="106" t="s">
        <v>2537</v>
      </c>
    </row>
    <row r="137" spans="1:23" ht="26.25" hidden="1" customHeight="1">
      <c r="A137" s="104" t="s">
        <v>2684</v>
      </c>
      <c r="B137" s="104" t="s">
        <v>2952</v>
      </c>
      <c r="C137" s="104" t="s">
        <v>2742</v>
      </c>
      <c r="D137" s="104" t="s">
        <v>2600</v>
      </c>
      <c r="E137" s="106" t="s">
        <v>2601</v>
      </c>
      <c r="F137" s="104" t="s">
        <v>3004</v>
      </c>
      <c r="G137" s="104" t="s">
        <v>2667</v>
      </c>
      <c r="H137" s="106" t="s">
        <v>2694</v>
      </c>
      <c r="I137" s="104" t="s">
        <v>2666</v>
      </c>
      <c r="J137" s="104" t="s">
        <v>4097</v>
      </c>
      <c r="K137" s="104" t="s">
        <v>2744</v>
      </c>
      <c r="L137" s="109" t="s">
        <v>2615</v>
      </c>
      <c r="M137" s="104" t="s">
        <v>2523</v>
      </c>
      <c r="N137" s="104" t="s">
        <v>2688</v>
      </c>
      <c r="O137" s="104" t="s">
        <v>2712</v>
      </c>
      <c r="P137" s="104" t="s">
        <v>2757</v>
      </c>
      <c r="Q137" s="104" t="s">
        <v>2675</v>
      </c>
      <c r="R137" s="104" t="s">
        <v>3032</v>
      </c>
      <c r="S137" s="104" t="s">
        <v>2858</v>
      </c>
      <c r="T137" s="104" t="s">
        <v>2954</v>
      </c>
      <c r="U137" s="104" t="s">
        <v>3057</v>
      </c>
      <c r="V137" s="104" t="s">
        <v>2967</v>
      </c>
      <c r="W137" s="104" t="s">
        <v>2564</v>
      </c>
    </row>
    <row r="138" spans="1:23" ht="26.25" hidden="1" customHeight="1">
      <c r="A138" s="104" t="s">
        <v>2709</v>
      </c>
      <c r="B138" s="104" t="s">
        <v>3075</v>
      </c>
      <c r="C138" s="104" t="s">
        <v>2777</v>
      </c>
      <c r="D138" s="104" t="s">
        <v>2551</v>
      </c>
      <c r="E138" s="104" t="s">
        <v>2719</v>
      </c>
      <c r="F138" s="104" t="s">
        <v>3053</v>
      </c>
      <c r="G138" s="106" t="s">
        <v>2918</v>
      </c>
      <c r="H138" s="106" t="s">
        <v>2695</v>
      </c>
      <c r="I138" s="125" t="s">
        <v>2671</v>
      </c>
      <c r="J138" s="104" t="s">
        <v>2672</v>
      </c>
      <c r="K138" s="104" t="s">
        <v>2759</v>
      </c>
      <c r="L138" s="109" t="s">
        <v>2756</v>
      </c>
      <c r="M138" s="104" t="s">
        <v>2534</v>
      </c>
      <c r="N138" s="104" t="s">
        <v>2711</v>
      </c>
      <c r="O138" s="104" t="s">
        <v>2746</v>
      </c>
      <c r="P138" s="104" t="s">
        <v>2824</v>
      </c>
      <c r="Q138" s="104" t="s">
        <v>2725</v>
      </c>
      <c r="R138" s="105" t="s">
        <v>3145</v>
      </c>
      <c r="S138" s="104" t="s">
        <v>4098</v>
      </c>
      <c r="T138" s="104" t="s">
        <v>2965</v>
      </c>
      <c r="U138" s="104" t="s">
        <v>4099</v>
      </c>
      <c r="V138" s="104" t="s">
        <v>3147</v>
      </c>
      <c r="W138" s="104" t="s">
        <v>2606</v>
      </c>
    </row>
    <row r="139" spans="1:23" ht="26.25" hidden="1" customHeight="1">
      <c r="A139" s="104" t="s">
        <v>2706</v>
      </c>
      <c r="B139" s="104" t="s">
        <v>3113</v>
      </c>
      <c r="C139" s="104" t="s">
        <v>2833</v>
      </c>
      <c r="D139" s="104" t="s">
        <v>2653</v>
      </c>
      <c r="E139" s="106" t="s">
        <v>2720</v>
      </c>
      <c r="F139" s="104" t="s">
        <v>3061</v>
      </c>
      <c r="G139" s="104" t="s">
        <v>4100</v>
      </c>
      <c r="H139" s="104" t="s">
        <v>2855</v>
      </c>
      <c r="I139" s="107" t="s">
        <v>2770</v>
      </c>
      <c r="J139" s="106" t="s">
        <v>2673</v>
      </c>
      <c r="K139" s="104" t="s">
        <v>2779</v>
      </c>
      <c r="L139" s="104" t="s">
        <v>2835</v>
      </c>
      <c r="M139" s="104" t="s">
        <v>2588</v>
      </c>
      <c r="N139" s="104" t="s">
        <v>2745</v>
      </c>
      <c r="O139" s="104" t="s">
        <v>2782</v>
      </c>
      <c r="P139" s="104" t="s">
        <v>2821</v>
      </c>
      <c r="Q139" s="104" t="s">
        <v>4101</v>
      </c>
      <c r="R139" s="104" t="s">
        <v>3248</v>
      </c>
      <c r="S139" s="104" t="s">
        <v>2987</v>
      </c>
      <c r="T139" s="104" t="s">
        <v>2966</v>
      </c>
      <c r="U139" s="104" t="s">
        <v>3077</v>
      </c>
      <c r="V139" s="104" t="s">
        <v>3178</v>
      </c>
      <c r="W139" s="104" t="s">
        <v>2625</v>
      </c>
    </row>
    <row r="140" spans="1:23" ht="26.25" hidden="1" customHeight="1">
      <c r="A140" s="104" t="s">
        <v>2789</v>
      </c>
      <c r="B140" s="104" t="s">
        <v>3123</v>
      </c>
      <c r="C140" s="106" t="s">
        <v>2852</v>
      </c>
      <c r="D140" s="104" t="s">
        <v>2639</v>
      </c>
      <c r="E140" s="104" t="s">
        <v>2791</v>
      </c>
      <c r="F140" s="104" t="s">
        <v>3073</v>
      </c>
      <c r="G140" s="104" t="s">
        <v>3062</v>
      </c>
      <c r="H140" s="104" t="s">
        <v>2900</v>
      </c>
      <c r="I140" s="106" t="s">
        <v>2772</v>
      </c>
      <c r="J140" s="104" t="s">
        <v>2674</v>
      </c>
      <c r="K140" s="104" t="s">
        <v>2801</v>
      </c>
      <c r="L140" s="104" t="s">
        <v>2844</v>
      </c>
      <c r="M140" s="106" t="s">
        <v>3801</v>
      </c>
      <c r="N140" s="104" t="s">
        <v>2761</v>
      </c>
      <c r="O140" s="104" t="s">
        <v>2795</v>
      </c>
      <c r="P140" s="104" t="s">
        <v>2845</v>
      </c>
      <c r="Q140" s="104" t="s">
        <v>2762</v>
      </c>
      <c r="R140" s="106" t="s">
        <v>3267</v>
      </c>
      <c r="S140" s="105" t="s">
        <v>3180</v>
      </c>
      <c r="T140" s="104" t="s">
        <v>2985</v>
      </c>
      <c r="U140" s="104" t="s">
        <v>3120</v>
      </c>
      <c r="V140" s="104" t="s">
        <v>3199</v>
      </c>
      <c r="W140" s="106" t="s">
        <v>2629</v>
      </c>
    </row>
    <row r="141" spans="1:23" ht="26.25" hidden="1" customHeight="1">
      <c r="A141" s="104" t="s">
        <v>2803</v>
      </c>
      <c r="B141" s="104" t="s">
        <v>3133</v>
      </c>
      <c r="C141" s="104" t="s">
        <v>2832</v>
      </c>
      <c r="D141" s="104" t="s">
        <v>2640</v>
      </c>
      <c r="E141" s="104" t="s">
        <v>2854</v>
      </c>
      <c r="F141" s="104" t="s">
        <v>3076</v>
      </c>
      <c r="G141" s="104" t="s">
        <v>3094</v>
      </c>
      <c r="H141" s="104" t="s">
        <v>4102</v>
      </c>
      <c r="I141" s="104" t="s">
        <v>2778</v>
      </c>
      <c r="J141" s="104" t="s">
        <v>4103</v>
      </c>
      <c r="K141" s="104" t="s">
        <v>2788</v>
      </c>
      <c r="L141" s="104" t="s">
        <v>2857</v>
      </c>
      <c r="M141" s="106" t="s">
        <v>2599</v>
      </c>
      <c r="N141" s="104" t="s">
        <v>2781</v>
      </c>
      <c r="O141" s="104" t="s">
        <v>2822</v>
      </c>
      <c r="P141" s="104" t="s">
        <v>3005</v>
      </c>
      <c r="Q141" s="104" t="s">
        <v>2820</v>
      </c>
      <c r="R141" s="89"/>
      <c r="S141" s="104" t="s">
        <v>3215</v>
      </c>
      <c r="T141" s="104" t="s">
        <v>2986</v>
      </c>
      <c r="U141" s="104" t="s">
        <v>3218</v>
      </c>
      <c r="V141" s="104"/>
      <c r="W141" s="129" t="s">
        <v>2631</v>
      </c>
    </row>
    <row r="142" spans="1:23" ht="26.25" hidden="1" customHeight="1">
      <c r="A142" s="106" t="s">
        <v>2819</v>
      </c>
      <c r="B142" s="104" t="s">
        <v>3173</v>
      </c>
      <c r="C142" s="104" t="s">
        <v>2853</v>
      </c>
      <c r="D142" s="104" t="s">
        <v>2641</v>
      </c>
      <c r="E142" s="104" t="s">
        <v>3030</v>
      </c>
      <c r="F142" s="104" t="s">
        <v>3071</v>
      </c>
      <c r="G142" s="104" t="s">
        <v>3106</v>
      </c>
      <c r="H142" s="104" t="s">
        <v>2963</v>
      </c>
      <c r="I142" s="104" t="s">
        <v>2785</v>
      </c>
      <c r="J142" s="104" t="s">
        <v>2689</v>
      </c>
      <c r="K142" s="104" t="s">
        <v>4104</v>
      </c>
      <c r="L142" s="106" t="s">
        <v>2859</v>
      </c>
      <c r="M142" s="104" t="s">
        <v>2618</v>
      </c>
      <c r="N142" s="104" t="s">
        <v>2836</v>
      </c>
      <c r="O142" s="105" t="s">
        <v>3153</v>
      </c>
      <c r="P142" s="104" t="s">
        <v>3090</v>
      </c>
      <c r="Q142" s="104" t="s">
        <v>4105</v>
      </c>
      <c r="R142" s="89"/>
      <c r="S142" s="104" t="s">
        <v>3204</v>
      </c>
      <c r="T142" s="104" t="s">
        <v>3108</v>
      </c>
      <c r="U142" s="104" t="s">
        <v>3237</v>
      </c>
      <c r="V142" s="89"/>
      <c r="W142" s="106" t="s">
        <v>2643</v>
      </c>
    </row>
    <row r="143" spans="1:23" ht="26.25" hidden="1" customHeight="1">
      <c r="A143" s="106" t="s">
        <v>2825</v>
      </c>
      <c r="B143" s="105"/>
      <c r="C143" s="104" t="s">
        <v>2871</v>
      </c>
      <c r="D143" s="104" t="s">
        <v>2670</v>
      </c>
      <c r="E143" s="104" t="s">
        <v>3052</v>
      </c>
      <c r="F143" s="107" t="s">
        <v>3110</v>
      </c>
      <c r="G143" s="115"/>
      <c r="H143" s="104" t="s">
        <v>2974</v>
      </c>
      <c r="I143" s="104" t="s">
        <v>2793</v>
      </c>
      <c r="J143" s="104" t="s">
        <v>2690</v>
      </c>
      <c r="K143" s="104" t="s">
        <v>2831</v>
      </c>
      <c r="L143" s="106" t="s">
        <v>2873</v>
      </c>
      <c r="M143" s="106" t="s">
        <v>4106</v>
      </c>
      <c r="N143" s="104" t="s">
        <v>3149</v>
      </c>
      <c r="O143" s="104" t="s">
        <v>3209</v>
      </c>
      <c r="P143" s="107" t="s">
        <v>3125</v>
      </c>
      <c r="Q143" s="104" t="s">
        <v>2897</v>
      </c>
      <c r="R143" s="89"/>
      <c r="S143" s="104" t="s">
        <v>3228</v>
      </c>
      <c r="T143" s="104" t="s">
        <v>3155</v>
      </c>
      <c r="U143" s="104"/>
      <c r="V143" s="89"/>
      <c r="W143" s="104" t="s">
        <v>2655</v>
      </c>
    </row>
    <row r="144" spans="1:23" ht="26.25" hidden="1" customHeight="1">
      <c r="A144" s="104" t="s">
        <v>2870</v>
      </c>
      <c r="B144" s="89"/>
      <c r="C144" s="104" t="s">
        <v>4107</v>
      </c>
      <c r="D144" s="104" t="s">
        <v>2686</v>
      </c>
      <c r="E144" s="104" t="s">
        <v>3095</v>
      </c>
      <c r="F144" s="104" t="s">
        <v>3150</v>
      </c>
      <c r="G144" s="112"/>
      <c r="H144" s="106" t="s">
        <v>3002</v>
      </c>
      <c r="I144" s="104" t="s">
        <v>3068</v>
      </c>
      <c r="J144" s="104" t="s">
        <v>2691</v>
      </c>
      <c r="K144" s="104" t="s">
        <v>2834</v>
      </c>
      <c r="L144" s="109" t="s">
        <v>3063</v>
      </c>
      <c r="M144" s="104" t="s">
        <v>2683</v>
      </c>
      <c r="N144" s="104" t="s">
        <v>3177</v>
      </c>
      <c r="O144" s="104" t="s">
        <v>3246</v>
      </c>
      <c r="P144" s="104" t="s">
        <v>3136</v>
      </c>
      <c r="Q144" s="106" t="s">
        <v>2940</v>
      </c>
      <c r="R144" s="89"/>
      <c r="S144" s="104" t="s">
        <v>3241</v>
      </c>
      <c r="T144" s="104" t="s">
        <v>3205</v>
      </c>
      <c r="U144" s="89"/>
      <c r="V144" s="89"/>
      <c r="W144" s="104" t="s">
        <v>2663</v>
      </c>
    </row>
    <row r="145" spans="1:23" ht="26.25" hidden="1" customHeight="1">
      <c r="A145" s="104" t="s">
        <v>2951</v>
      </c>
      <c r="B145" s="89"/>
      <c r="C145" s="104" t="s">
        <v>3060</v>
      </c>
      <c r="D145" s="104" t="s">
        <v>2692</v>
      </c>
      <c r="E145" s="104" t="s">
        <v>3135</v>
      </c>
      <c r="F145" s="105"/>
      <c r="G145" s="89"/>
      <c r="H145" s="104" t="s">
        <v>4108</v>
      </c>
      <c r="I145" s="104" t="s">
        <v>3091</v>
      </c>
      <c r="J145" s="104" t="s">
        <v>2721</v>
      </c>
      <c r="K145" s="104" t="s">
        <v>2856</v>
      </c>
      <c r="L145" s="107" t="s">
        <v>3162</v>
      </c>
      <c r="M145" s="104" t="s">
        <v>2755</v>
      </c>
      <c r="N145" s="104" t="s">
        <v>3227</v>
      </c>
      <c r="O145" s="89"/>
      <c r="P145" s="104" t="s">
        <v>3154</v>
      </c>
      <c r="Q145" s="104" t="s">
        <v>2948</v>
      </c>
      <c r="R145" s="89"/>
      <c r="S145" s="104" t="s">
        <v>3259</v>
      </c>
      <c r="T145" s="104" t="s">
        <v>3217</v>
      </c>
      <c r="U145" s="89"/>
      <c r="V145" s="89"/>
      <c r="W145" s="104" t="s">
        <v>2676</v>
      </c>
    </row>
    <row r="146" spans="1:23" ht="26.25" hidden="1" customHeight="1">
      <c r="A146" s="109" t="s">
        <v>2984</v>
      </c>
      <c r="B146" s="89"/>
      <c r="C146" s="104" t="s">
        <v>3134</v>
      </c>
      <c r="D146" s="104" t="s">
        <v>2710</v>
      </c>
      <c r="E146" s="106" t="s">
        <v>3161</v>
      </c>
      <c r="F146" s="89"/>
      <c r="G146" s="89"/>
      <c r="H146" s="104" t="s">
        <v>3093</v>
      </c>
      <c r="I146" s="104" t="s">
        <v>3092</v>
      </c>
      <c r="J146" s="104" t="s">
        <v>2754</v>
      </c>
      <c r="K146" s="104" t="s">
        <v>2872</v>
      </c>
      <c r="L146" s="107" t="s">
        <v>4109</v>
      </c>
      <c r="M146" s="104" t="s">
        <v>2760</v>
      </c>
      <c r="N146" s="104" t="s">
        <v>3245</v>
      </c>
      <c r="O146" s="89"/>
      <c r="P146" s="104" t="s">
        <v>3214</v>
      </c>
      <c r="Q146" s="106" t="s">
        <v>2953</v>
      </c>
      <c r="R146" s="89"/>
      <c r="S146" s="104"/>
      <c r="T146" s="104" t="s">
        <v>3216</v>
      </c>
      <c r="U146" s="89"/>
      <c r="V146" s="89"/>
      <c r="W146" s="106" t="s">
        <v>2668</v>
      </c>
    </row>
    <row r="147" spans="1:23" ht="26.25" hidden="1" customHeight="1">
      <c r="A147" s="107" t="s">
        <v>2996</v>
      </c>
      <c r="B147" s="89"/>
      <c r="C147" s="104" t="s">
        <v>3174</v>
      </c>
      <c r="D147" s="106" t="s">
        <v>2704</v>
      </c>
      <c r="E147" s="104" t="s">
        <v>3175</v>
      </c>
      <c r="F147" s="89"/>
      <c r="G147" s="89" t="s">
        <v>2172</v>
      </c>
      <c r="H147" s="115"/>
      <c r="I147" s="104" t="s">
        <v>3124</v>
      </c>
      <c r="J147" s="104" t="s">
        <v>2786</v>
      </c>
      <c r="K147" s="106" t="s">
        <v>2902</v>
      </c>
      <c r="L147" s="107" t="s">
        <v>3213</v>
      </c>
      <c r="M147" s="104" t="s">
        <v>2780</v>
      </c>
      <c r="N147" s="104" t="s">
        <v>3266</v>
      </c>
      <c r="O147" s="89"/>
      <c r="P147" s="107" t="s">
        <v>3202</v>
      </c>
      <c r="Q147" s="104" t="s">
        <v>3003</v>
      </c>
      <c r="R147" s="89"/>
      <c r="S147" s="89"/>
      <c r="T147" s="104" t="s">
        <v>3221</v>
      </c>
      <c r="U147" s="89"/>
      <c r="V147" s="89"/>
      <c r="W147" s="104" t="s">
        <v>2705</v>
      </c>
    </row>
    <row r="148" spans="1:23" ht="26.25" hidden="1" customHeight="1">
      <c r="A148" s="107" t="s">
        <v>3029</v>
      </c>
      <c r="B148" s="89"/>
      <c r="C148" s="104" t="s">
        <v>3196</v>
      </c>
      <c r="D148" s="104" t="s">
        <v>2703</v>
      </c>
      <c r="E148" s="104" t="s">
        <v>3197</v>
      </c>
      <c r="F148" s="89"/>
      <c r="G148" s="89"/>
      <c r="H148" s="89"/>
      <c r="I148" s="107" t="s">
        <v>3152</v>
      </c>
      <c r="J148" s="104" t="s">
        <v>2792</v>
      </c>
      <c r="K148" s="104" t="s">
        <v>3006</v>
      </c>
      <c r="L148" s="105"/>
      <c r="M148" s="104" t="s">
        <v>2794</v>
      </c>
      <c r="O148" s="89"/>
      <c r="P148" s="104" t="s">
        <v>3265</v>
      </c>
      <c r="Q148" s="104" t="s">
        <v>3008</v>
      </c>
      <c r="R148" s="89"/>
      <c r="S148" s="89"/>
      <c r="T148" s="104" t="s">
        <v>3222</v>
      </c>
      <c r="U148" s="89"/>
      <c r="V148" s="89"/>
      <c r="W148" s="104" t="s">
        <v>2726</v>
      </c>
    </row>
    <row r="149" spans="1:23" ht="26.25" hidden="1" customHeight="1">
      <c r="A149" s="104" t="s">
        <v>3025</v>
      </c>
      <c r="B149" s="89"/>
      <c r="C149" s="105"/>
      <c r="D149" s="104" t="s">
        <v>2728</v>
      </c>
      <c r="E149" s="105"/>
      <c r="F149" s="89"/>
      <c r="G149" s="89"/>
      <c r="H149" s="112"/>
      <c r="I149" s="105"/>
      <c r="J149" s="104" t="s">
        <v>2901</v>
      </c>
      <c r="K149" s="104" t="s">
        <v>2997</v>
      </c>
      <c r="L149" s="89"/>
      <c r="M149" s="104" t="s">
        <v>2809</v>
      </c>
      <c r="N149" s="89"/>
      <c r="O149" s="89"/>
      <c r="P149" s="89" t="s">
        <v>3270</v>
      </c>
      <c r="Q149" s="104" t="s">
        <v>3031</v>
      </c>
      <c r="R149" s="89"/>
      <c r="S149" s="89"/>
      <c r="T149" s="104" t="s">
        <v>3229</v>
      </c>
      <c r="U149" s="89"/>
      <c r="V149" s="89"/>
      <c r="W149" s="104" t="s">
        <v>2727</v>
      </c>
    </row>
    <row r="150" spans="1:23" ht="26.25" hidden="1" customHeight="1">
      <c r="A150" s="107" t="s">
        <v>3051</v>
      </c>
      <c r="B150" s="89"/>
      <c r="C150" s="89"/>
      <c r="D150" s="104" t="s">
        <v>2743</v>
      </c>
      <c r="E150" s="89"/>
      <c r="F150" s="89"/>
      <c r="G150" s="89"/>
      <c r="H150" s="112"/>
      <c r="I150" s="89"/>
      <c r="J150" s="106" t="s">
        <v>2919</v>
      </c>
      <c r="K150" s="107" t="s">
        <v>3018</v>
      </c>
      <c r="L150" s="89"/>
      <c r="M150" s="104" t="s">
        <v>2826</v>
      </c>
      <c r="N150" s="89"/>
      <c r="O150" s="89"/>
      <c r="P150" s="89"/>
      <c r="Q150" s="104" t="s">
        <v>3044</v>
      </c>
      <c r="R150" s="89"/>
      <c r="S150" s="89"/>
      <c r="T150" s="104" t="s">
        <v>3249</v>
      </c>
      <c r="U150" s="89"/>
      <c r="V150" s="89"/>
      <c r="W150" s="104" t="s">
        <v>2738</v>
      </c>
    </row>
    <row r="151" spans="1:23" ht="26.25" hidden="1" customHeight="1">
      <c r="A151" s="104" t="s">
        <v>3059</v>
      </c>
      <c r="B151" s="112"/>
      <c r="C151" s="89"/>
      <c r="D151" s="104" t="s">
        <v>2758</v>
      </c>
      <c r="E151" s="89"/>
      <c r="F151" s="89"/>
      <c r="G151" s="89"/>
      <c r="H151" s="89"/>
      <c r="I151" s="89"/>
      <c r="J151" s="104" t="s">
        <v>3015</v>
      </c>
      <c r="K151" s="104" t="s">
        <v>3007</v>
      </c>
      <c r="L151" s="89"/>
      <c r="M151" s="104" t="s">
        <v>2903</v>
      </c>
      <c r="N151" s="89"/>
      <c r="O151" s="89"/>
      <c r="P151" s="89"/>
      <c r="Q151" s="104" t="s">
        <v>3055</v>
      </c>
      <c r="R151" s="89"/>
      <c r="S151" s="89"/>
      <c r="T151" s="104"/>
      <c r="U151" s="89"/>
      <c r="V151" s="89"/>
      <c r="W151" s="104" t="s">
        <v>2748</v>
      </c>
    </row>
    <row r="152" spans="1:23" ht="26.25" hidden="1" customHeight="1">
      <c r="A152" s="104" t="s">
        <v>3072</v>
      </c>
      <c r="B152" s="89"/>
      <c r="C152" s="89"/>
      <c r="D152" s="104" t="s">
        <v>2790</v>
      </c>
      <c r="E152" s="89"/>
      <c r="F152" s="112"/>
      <c r="G152" s="89"/>
      <c r="H152" s="112"/>
      <c r="I152" s="89"/>
      <c r="J152" s="104" t="s">
        <v>3017</v>
      </c>
      <c r="K152" s="104" t="s">
        <v>3089</v>
      </c>
      <c r="L152" s="89"/>
      <c r="M152" s="109" t="s">
        <v>2906</v>
      </c>
      <c r="N152" s="89"/>
      <c r="O152" s="89"/>
      <c r="P152" s="89"/>
      <c r="Q152" s="105" t="s">
        <v>3166</v>
      </c>
      <c r="R152" s="89"/>
      <c r="S152" s="89"/>
      <c r="T152" s="89"/>
      <c r="U152" s="89"/>
      <c r="V152" s="89"/>
      <c r="W152" s="104" t="s">
        <v>2741</v>
      </c>
    </row>
    <row r="153" spans="1:23" ht="26.25" hidden="1" customHeight="1">
      <c r="A153" s="125" t="s">
        <v>3074</v>
      </c>
      <c r="B153" s="112"/>
      <c r="C153" s="89"/>
      <c r="D153" s="104" t="s">
        <v>2808</v>
      </c>
      <c r="E153" s="89"/>
      <c r="F153" s="89"/>
      <c r="G153" s="89"/>
      <c r="H153" s="89"/>
      <c r="I153" s="89"/>
      <c r="J153" s="107" t="s">
        <v>3054</v>
      </c>
      <c r="K153" s="104" t="s">
        <v>3099</v>
      </c>
      <c r="L153" s="89"/>
      <c r="M153" s="106" t="s">
        <v>2920</v>
      </c>
      <c r="N153" s="89"/>
      <c r="O153" s="89"/>
      <c r="P153" s="112"/>
      <c r="Q153" s="104" t="s">
        <v>3247</v>
      </c>
      <c r="R153" s="89"/>
      <c r="S153" s="89"/>
      <c r="T153" s="89"/>
      <c r="U153" s="89"/>
      <c r="V153" s="89"/>
      <c r="W153" s="104" t="s">
        <v>2763</v>
      </c>
    </row>
    <row r="154" spans="1:23" ht="26.25" hidden="1" customHeight="1">
      <c r="A154" s="107" t="s">
        <v>3097</v>
      </c>
      <c r="B154" s="89"/>
      <c r="C154" s="89"/>
      <c r="D154" s="104" t="s">
        <v>4110</v>
      </c>
      <c r="E154" s="89"/>
      <c r="F154" s="89"/>
      <c r="G154" s="89"/>
      <c r="H154" s="112"/>
      <c r="I154" s="89"/>
      <c r="J154" s="107" t="s">
        <v>3148</v>
      </c>
      <c r="K154" s="104" t="s">
        <v>3100</v>
      </c>
      <c r="L154" s="89"/>
      <c r="M154" s="104" t="s">
        <v>2978</v>
      </c>
      <c r="N154" s="89"/>
      <c r="O154" s="89"/>
      <c r="P154" s="89"/>
      <c r="Q154" s="104" t="s">
        <v>3257</v>
      </c>
      <c r="R154" s="89"/>
      <c r="S154" s="89"/>
      <c r="T154" s="89"/>
      <c r="U154" s="89"/>
      <c r="V154" s="89"/>
      <c r="W154" s="104" t="s">
        <v>2784</v>
      </c>
    </row>
    <row r="155" spans="1:23" ht="26.25" hidden="1" customHeight="1">
      <c r="A155" s="107" t="s">
        <v>3109</v>
      </c>
      <c r="B155" s="89"/>
      <c r="C155" s="89"/>
      <c r="D155" s="104" t="s">
        <v>2917</v>
      </c>
      <c r="E155" s="89"/>
      <c r="F155" s="89"/>
      <c r="G155" s="89"/>
      <c r="H155" s="89"/>
      <c r="I155" s="89"/>
      <c r="J155" s="107" t="s">
        <v>3198</v>
      </c>
      <c r="K155" s="104" t="s">
        <v>3107</v>
      </c>
      <c r="L155" s="89"/>
      <c r="M155" s="106" t="s">
        <v>2989</v>
      </c>
      <c r="N155" s="89"/>
      <c r="O155" s="89"/>
      <c r="P155" s="89"/>
      <c r="Q155" s="104"/>
      <c r="R155" s="89"/>
      <c r="S155" s="89"/>
      <c r="T155" s="89"/>
      <c r="U155" s="89"/>
      <c r="V155" s="89"/>
      <c r="W155" s="104" t="s">
        <v>2796</v>
      </c>
    </row>
    <row r="156" spans="1:23" ht="26.25" hidden="1" customHeight="1">
      <c r="A156" s="104" t="s">
        <v>3151</v>
      </c>
      <c r="B156" s="89"/>
      <c r="C156" s="89"/>
      <c r="D156" s="104" t="s">
        <v>3016</v>
      </c>
      <c r="E156" s="89"/>
      <c r="F156" s="89"/>
      <c r="G156" s="89"/>
      <c r="H156" s="89"/>
      <c r="I156" s="89"/>
      <c r="J156" s="105"/>
      <c r="K156" s="104" t="s">
        <v>3111</v>
      </c>
      <c r="L156" s="89"/>
      <c r="M156" s="104" t="s">
        <v>2982</v>
      </c>
      <c r="N156" s="89"/>
      <c r="O156" s="89"/>
      <c r="P156" s="89"/>
      <c r="Q156" s="89"/>
      <c r="R156" s="89"/>
      <c r="S156" s="89"/>
      <c r="T156" s="89"/>
      <c r="U156" s="89"/>
      <c r="V156" s="89"/>
      <c r="W156" s="104" t="s">
        <v>2810</v>
      </c>
    </row>
    <row r="157" spans="1:23" ht="26.25" hidden="1" customHeight="1">
      <c r="A157" s="105"/>
      <c r="B157" s="89"/>
      <c r="C157" s="89"/>
      <c r="D157" s="127" t="s">
        <v>4111</v>
      </c>
      <c r="E157" s="89"/>
      <c r="F157" s="89"/>
      <c r="G157" s="89"/>
      <c r="H157" s="89"/>
      <c r="I157" s="89"/>
      <c r="J157" s="89"/>
      <c r="K157" s="115"/>
      <c r="L157" s="89"/>
      <c r="M157" s="104" t="s">
        <v>2983</v>
      </c>
      <c r="N157" s="89"/>
      <c r="O157" s="89"/>
      <c r="P157" s="89"/>
      <c r="Q157" s="89"/>
      <c r="R157" s="89"/>
      <c r="S157" s="89"/>
      <c r="T157" s="89"/>
      <c r="U157" s="89"/>
      <c r="V157" s="89"/>
      <c r="W157" s="104" t="s">
        <v>2830</v>
      </c>
    </row>
    <row r="158" spans="1:23" ht="26.25" hidden="1" customHeight="1">
      <c r="A158" s="112"/>
      <c r="B158" s="89"/>
      <c r="C158" s="89"/>
      <c r="D158" s="104" t="s">
        <v>3226</v>
      </c>
      <c r="E158" s="89"/>
      <c r="F158" s="89"/>
      <c r="G158" s="89"/>
      <c r="H158" s="112"/>
      <c r="I158" s="89"/>
      <c r="J158" s="112"/>
      <c r="K158" s="89"/>
      <c r="L158" s="112"/>
      <c r="M158" s="107" t="s">
        <v>3000</v>
      </c>
      <c r="N158" s="89"/>
      <c r="O158" s="89"/>
      <c r="P158" s="89"/>
      <c r="Q158" s="89"/>
      <c r="R158" s="89"/>
      <c r="S158" s="112"/>
      <c r="T158" s="112"/>
      <c r="U158" s="89"/>
      <c r="V158" s="89"/>
      <c r="W158" s="104" t="s">
        <v>2907</v>
      </c>
    </row>
    <row r="159" spans="1:23" ht="26.25" hidden="1" customHeight="1">
      <c r="A159" s="112"/>
      <c r="B159" s="89"/>
      <c r="C159" s="89"/>
      <c r="D159" s="104"/>
      <c r="E159" s="89"/>
      <c r="F159" s="89"/>
      <c r="G159" s="89"/>
      <c r="H159" s="112"/>
      <c r="I159" s="89"/>
      <c r="J159" s="89"/>
      <c r="K159" s="89"/>
      <c r="L159" s="112"/>
      <c r="M159" s="107" t="s">
        <v>3039</v>
      </c>
      <c r="N159" s="89"/>
      <c r="O159" s="89"/>
      <c r="P159" s="89"/>
      <c r="Q159" s="89"/>
      <c r="R159" s="89"/>
      <c r="S159" s="89"/>
      <c r="T159" s="112"/>
      <c r="U159" s="89"/>
      <c r="V159" s="89"/>
      <c r="W159" s="106" t="s">
        <v>2941</v>
      </c>
    </row>
    <row r="160" spans="1:23" ht="26.25" hidden="1" customHeight="1">
      <c r="A160" s="112"/>
      <c r="B160" s="89"/>
      <c r="C160" s="89"/>
      <c r="D160" s="89"/>
      <c r="E160" s="89"/>
      <c r="F160" s="89"/>
      <c r="G160" s="89"/>
      <c r="H160" s="112"/>
      <c r="I160" s="89"/>
      <c r="J160" s="112"/>
      <c r="K160" s="89"/>
      <c r="L160" s="112"/>
      <c r="M160" s="104" t="s">
        <v>3047</v>
      </c>
      <c r="N160" s="89"/>
      <c r="O160" s="89"/>
      <c r="P160" s="89"/>
      <c r="Q160" s="112"/>
      <c r="R160" s="89"/>
      <c r="S160" s="89"/>
      <c r="T160" s="112"/>
      <c r="U160" s="89"/>
      <c r="V160" s="89"/>
      <c r="W160" s="104" t="s">
        <v>2955</v>
      </c>
    </row>
    <row r="161" spans="1:23" ht="26.25" hidden="1" customHeight="1">
      <c r="A161" s="112"/>
      <c r="B161" s="89"/>
      <c r="C161" s="89"/>
      <c r="D161" s="89"/>
      <c r="E161" s="89"/>
      <c r="F161" s="89"/>
      <c r="G161" s="89"/>
      <c r="H161" s="112"/>
      <c r="I161" s="89"/>
      <c r="J161" s="89"/>
      <c r="K161" s="89"/>
      <c r="L161" s="112"/>
      <c r="M161" s="104" t="s">
        <v>3098</v>
      </c>
      <c r="N161" s="89"/>
      <c r="O161" s="89"/>
      <c r="P161" s="89"/>
      <c r="Q161" s="89"/>
      <c r="R161" s="89"/>
      <c r="S161" s="89"/>
      <c r="T161" s="89"/>
      <c r="U161" s="89"/>
      <c r="V161" s="89"/>
      <c r="W161" s="104" t="s">
        <v>2961</v>
      </c>
    </row>
    <row r="162" spans="1:23" ht="26.25" hidden="1" customHeight="1">
      <c r="A162" s="89"/>
      <c r="B162" s="89"/>
      <c r="C162" s="89"/>
      <c r="D162" s="89"/>
      <c r="E162" s="89"/>
      <c r="F162" s="89"/>
      <c r="G162" s="89"/>
      <c r="H162" s="112"/>
      <c r="I162" s="89"/>
      <c r="J162" s="112"/>
      <c r="K162" s="89"/>
      <c r="L162" s="112"/>
      <c r="M162" s="104" t="s">
        <v>3163</v>
      </c>
      <c r="N162" s="89"/>
      <c r="O162" s="89"/>
      <c r="P162" s="89"/>
      <c r="Q162" s="89"/>
      <c r="R162" s="89"/>
      <c r="S162" s="89"/>
      <c r="T162" s="89"/>
      <c r="U162" s="89"/>
      <c r="V162" s="112"/>
      <c r="W162" s="106" t="s">
        <v>2968</v>
      </c>
    </row>
    <row r="163" spans="1:23" ht="26.25" hidden="1" customHeight="1">
      <c r="A163" s="89"/>
      <c r="B163" s="89"/>
      <c r="C163" s="89"/>
      <c r="D163" s="89"/>
      <c r="E163" s="89"/>
      <c r="F163" s="89"/>
      <c r="G163" s="89"/>
      <c r="H163" s="112"/>
      <c r="I163" s="89"/>
      <c r="J163" s="112"/>
      <c r="K163" s="89"/>
      <c r="L163" s="112"/>
      <c r="M163" s="107" t="s">
        <v>3176</v>
      </c>
      <c r="N163" s="89"/>
      <c r="O163" s="89"/>
      <c r="P163" s="89"/>
      <c r="Q163" s="89"/>
      <c r="R163" s="89"/>
      <c r="S163" s="89"/>
      <c r="T163" s="89"/>
      <c r="U163" s="89"/>
      <c r="V163" s="89"/>
      <c r="W163" s="106" t="s">
        <v>2977</v>
      </c>
    </row>
    <row r="164" spans="1:23" ht="26.25" hidden="1" customHeight="1">
      <c r="A164" s="89"/>
      <c r="B164" s="89"/>
      <c r="C164" s="89"/>
      <c r="D164" s="89"/>
      <c r="E164" s="89"/>
      <c r="F164" s="89"/>
      <c r="G164" s="89"/>
      <c r="H164" s="112"/>
      <c r="I164" s="89"/>
      <c r="J164" s="112"/>
      <c r="K164" s="89"/>
      <c r="L164" s="89"/>
      <c r="M164" s="105" t="s">
        <v>3244</v>
      </c>
      <c r="N164" s="89"/>
      <c r="O164" s="89"/>
      <c r="P164" s="89"/>
      <c r="Q164" s="89"/>
      <c r="R164" s="89"/>
      <c r="S164" s="89"/>
      <c r="T164" s="89"/>
      <c r="U164" s="89"/>
      <c r="V164" s="89"/>
      <c r="W164" s="104" t="s">
        <v>3001</v>
      </c>
    </row>
    <row r="165" spans="1:23" ht="26.25" hidden="1" customHeight="1">
      <c r="A165" s="89"/>
      <c r="B165" s="89"/>
      <c r="C165" s="89"/>
      <c r="D165" s="89"/>
      <c r="E165" s="89"/>
      <c r="F165" s="89"/>
      <c r="G165" s="89"/>
      <c r="H165" s="112"/>
      <c r="I165" s="89"/>
      <c r="J165" s="112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104" t="s">
        <v>3033</v>
      </c>
    </row>
    <row r="166" spans="1:23" ht="26.25" hidden="1" customHeight="1">
      <c r="A166" s="89"/>
      <c r="B166" s="89"/>
      <c r="C166" s="116"/>
      <c r="D166" s="89"/>
      <c r="E166" s="89"/>
      <c r="F166" s="89"/>
      <c r="G166" s="89"/>
      <c r="H166" s="112"/>
      <c r="I166" s="89"/>
      <c r="J166" s="112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104" t="s">
        <v>3042</v>
      </c>
    </row>
    <row r="167" spans="1:23" ht="26.25" hidden="1" customHeight="1">
      <c r="A167" s="89"/>
      <c r="B167" s="89"/>
      <c r="C167" s="116"/>
      <c r="D167" s="116"/>
      <c r="E167" s="89"/>
      <c r="F167" s="89"/>
      <c r="G167" s="89"/>
      <c r="H167" s="112"/>
      <c r="I167" s="89"/>
      <c r="J167" s="112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104" t="s">
        <v>3043</v>
      </c>
    </row>
    <row r="168" spans="1:23" ht="26.25" hidden="1" customHeight="1">
      <c r="A168" s="89"/>
      <c r="B168" s="89"/>
      <c r="C168" s="116"/>
      <c r="D168" s="89"/>
      <c r="E168" s="89"/>
      <c r="F168" s="89"/>
      <c r="G168" s="89"/>
      <c r="H168" s="112"/>
      <c r="I168" s="89"/>
      <c r="J168" s="112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104" t="s">
        <v>3056</v>
      </c>
    </row>
    <row r="169" spans="1:23" ht="26.25" hidden="1" customHeight="1">
      <c r="A169" s="89"/>
      <c r="B169" s="89"/>
      <c r="C169" s="116"/>
      <c r="D169" s="89"/>
      <c r="E169" s="89"/>
      <c r="F169" s="89"/>
      <c r="G169" s="89"/>
      <c r="H169" s="112"/>
      <c r="I169" s="89"/>
      <c r="J169" s="112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104" t="s">
        <v>3070</v>
      </c>
    </row>
    <row r="170" spans="1:23" ht="26.25" hidden="1" customHeight="1">
      <c r="A170" s="89"/>
      <c r="B170" s="89"/>
      <c r="C170" s="116"/>
      <c r="D170" s="116"/>
      <c r="E170" s="89"/>
      <c r="F170" s="89"/>
      <c r="G170" s="89"/>
      <c r="H170" s="112"/>
      <c r="I170" s="89"/>
      <c r="J170" s="112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106" t="s">
        <v>3078</v>
      </c>
    </row>
    <row r="171" spans="1:23" ht="26.25" hidden="1" customHeight="1">
      <c r="A171" s="89"/>
      <c r="B171" s="89"/>
      <c r="C171" s="116"/>
      <c r="D171" s="116"/>
      <c r="E171" s="89"/>
      <c r="F171" s="89"/>
      <c r="G171" s="89"/>
      <c r="H171" s="112"/>
      <c r="I171" s="89"/>
      <c r="J171" s="112"/>
      <c r="K171" s="89"/>
      <c r="L171" s="89"/>
      <c r="M171" s="89"/>
      <c r="N171" s="89"/>
      <c r="O171" s="89"/>
      <c r="P171" s="89"/>
      <c r="Q171" s="89"/>
      <c r="R171" s="112"/>
      <c r="S171" s="89"/>
      <c r="T171" s="89"/>
      <c r="U171" s="89"/>
      <c r="V171" s="89"/>
      <c r="W171" s="104" t="s">
        <v>3088</v>
      </c>
    </row>
    <row r="172" spans="1:23" ht="26.25" hidden="1" customHeight="1">
      <c r="A172" s="89"/>
      <c r="B172" s="89"/>
      <c r="C172" s="116"/>
      <c r="D172" s="116"/>
      <c r="E172" s="89"/>
      <c r="F172" s="89"/>
      <c r="G172" s="89"/>
      <c r="H172" s="112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106" t="s">
        <v>3096</v>
      </c>
    </row>
    <row r="173" spans="1:23" ht="26.25" hidden="1" customHeight="1">
      <c r="A173" s="89"/>
      <c r="B173" s="89"/>
      <c r="C173" s="89"/>
      <c r="D173" s="89"/>
      <c r="E173" s="89"/>
      <c r="F173" s="89"/>
      <c r="G173" s="89"/>
      <c r="H173" s="112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104" t="s">
        <v>3112</v>
      </c>
    </row>
    <row r="174" spans="1:23" ht="26.25" hidden="1" customHeight="1">
      <c r="A174" s="89"/>
      <c r="B174" s="89"/>
      <c r="C174" s="89"/>
      <c r="D174" s="89"/>
      <c r="E174" s="89"/>
      <c r="F174" s="89"/>
      <c r="G174" s="89"/>
      <c r="H174" s="112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104" t="s">
        <v>3137</v>
      </c>
    </row>
    <row r="175" spans="1:23" ht="26.25" hidden="1" customHeight="1">
      <c r="A175" s="89"/>
      <c r="B175" s="89"/>
      <c r="C175" s="89"/>
      <c r="D175" s="89"/>
      <c r="E175" s="89"/>
      <c r="F175" s="89"/>
      <c r="G175" s="89"/>
      <c r="H175" s="112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104" t="s">
        <v>3040</v>
      </c>
    </row>
    <row r="176" spans="1:23" ht="26.25" hidden="1" customHeight="1">
      <c r="A176" s="89"/>
      <c r="B176" s="89"/>
      <c r="C176" s="89"/>
      <c r="D176" s="89"/>
      <c r="E176" s="89"/>
      <c r="F176" s="89"/>
      <c r="G176" s="89"/>
      <c r="H176" s="112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104" t="s">
        <v>3179</v>
      </c>
    </row>
    <row r="177" spans="1:23" ht="26.25" hidden="1" customHeight="1">
      <c r="A177" s="89"/>
      <c r="B177" s="89"/>
      <c r="C177" s="89"/>
      <c r="D177" s="89"/>
      <c r="E177" s="89"/>
      <c r="F177" s="89"/>
      <c r="G177" s="89"/>
      <c r="H177" s="112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104" t="s">
        <v>3200</v>
      </c>
    </row>
    <row r="178" spans="1:23" ht="26.25" hidden="1" customHeight="1">
      <c r="A178" s="89"/>
      <c r="B178" s="89"/>
      <c r="C178" s="89"/>
      <c r="D178" s="89"/>
      <c r="E178" s="89"/>
      <c r="F178" s="89"/>
      <c r="G178" s="89"/>
      <c r="H178" s="112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104" t="s">
        <v>3220</v>
      </c>
    </row>
    <row r="179" spans="1:23" ht="26.25" hidden="1" customHeight="1">
      <c r="A179" s="89"/>
      <c r="B179" s="89"/>
      <c r="C179" s="89"/>
      <c r="D179" s="89"/>
      <c r="E179" s="89"/>
      <c r="F179" s="89"/>
      <c r="G179" s="89"/>
      <c r="H179" s="112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104" t="s">
        <v>3219</v>
      </c>
    </row>
    <row r="180" spans="1:23" ht="26.25" hidden="1" customHeight="1">
      <c r="A180" s="89"/>
      <c r="B180" s="89"/>
      <c r="C180" s="89"/>
      <c r="D180" s="89"/>
      <c r="E180" s="89"/>
      <c r="F180" s="89"/>
      <c r="G180" s="89"/>
      <c r="H180" s="112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104" t="s">
        <v>3230</v>
      </c>
    </row>
    <row r="181" spans="1:23" ht="26.25" hidden="1" customHeight="1">
      <c r="A181" s="89"/>
      <c r="B181" s="89"/>
      <c r="C181" s="89"/>
      <c r="D181" s="89"/>
      <c r="E181" s="89"/>
      <c r="F181" s="89"/>
      <c r="G181" s="89"/>
      <c r="H181" s="112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104" t="s">
        <v>3223</v>
      </c>
    </row>
    <row r="182" spans="1:23" ht="26.25" hidden="1" customHeight="1">
      <c r="A182" s="89"/>
      <c r="B182" s="89"/>
      <c r="C182" s="89"/>
      <c r="D182" s="89"/>
      <c r="E182" s="89"/>
      <c r="F182" s="89"/>
      <c r="G182" s="89"/>
      <c r="H182" s="112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104" t="s">
        <v>3238</v>
      </c>
    </row>
    <row r="183" spans="1:23" ht="26.25" hidden="1" customHeight="1">
      <c r="A183" s="89"/>
      <c r="B183" s="89"/>
      <c r="C183" s="89"/>
      <c r="D183" s="89"/>
      <c r="E183" s="89"/>
      <c r="F183" s="89"/>
      <c r="G183" s="89"/>
      <c r="H183" s="112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104" t="s">
        <v>3239</v>
      </c>
    </row>
    <row r="184" spans="1:23" s="122" customFormat="1" ht="26.25" hidden="1" customHeight="1">
      <c r="A184" s="118"/>
      <c r="B184" s="118"/>
      <c r="C184" s="118"/>
      <c r="D184" s="118"/>
      <c r="E184" s="118"/>
      <c r="F184" s="118"/>
      <c r="G184" s="118"/>
      <c r="H184" s="119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 t="s">
        <v>3251</v>
      </c>
    </row>
    <row r="185" spans="1:23" ht="26.25" hidden="1" customHeight="1">
      <c r="A185" s="105" t="s">
        <v>3206</v>
      </c>
      <c r="B185" s="105" t="s">
        <v>3206</v>
      </c>
      <c r="C185" s="105" t="s">
        <v>3206</v>
      </c>
      <c r="D185" s="104" t="s">
        <v>3293</v>
      </c>
      <c r="E185" s="105" t="s">
        <v>3352</v>
      </c>
      <c r="F185" s="105" t="s">
        <v>3352</v>
      </c>
      <c r="G185" s="115" t="s">
        <v>3340</v>
      </c>
      <c r="H185" s="115" t="s">
        <v>3320</v>
      </c>
      <c r="I185" s="105" t="s">
        <v>3352</v>
      </c>
      <c r="J185" s="105" t="s">
        <v>3468</v>
      </c>
      <c r="K185" s="105" t="s">
        <v>3649</v>
      </c>
      <c r="L185" s="105" t="s">
        <v>3809</v>
      </c>
      <c r="M185" s="106" t="s">
        <v>3328</v>
      </c>
      <c r="N185" s="131" t="s">
        <v>3269</v>
      </c>
      <c r="O185" s="104" t="s">
        <v>3404</v>
      </c>
      <c r="P185" s="116" t="s">
        <v>3290</v>
      </c>
      <c r="Q185" s="104" t="s">
        <v>3278</v>
      </c>
      <c r="R185" s="104" t="s">
        <v>3303</v>
      </c>
      <c r="S185" s="104" t="s">
        <v>3268</v>
      </c>
      <c r="T185" s="104" t="s">
        <v>3256</v>
      </c>
      <c r="U185" s="104" t="s">
        <v>3302</v>
      </c>
      <c r="V185" s="104" t="s">
        <v>3250</v>
      </c>
      <c r="W185" s="104" t="s">
        <v>3264</v>
      </c>
    </row>
    <row r="186" spans="1:23" ht="26.25" hidden="1" customHeight="1">
      <c r="A186" s="105" t="s">
        <v>3769</v>
      </c>
      <c r="B186" s="105" t="s">
        <v>3456</v>
      </c>
      <c r="C186" s="105" t="s">
        <v>3428</v>
      </c>
      <c r="D186" s="105" t="s">
        <v>3206</v>
      </c>
      <c r="E186" s="104" t="s">
        <v>3362</v>
      </c>
      <c r="F186" s="104" t="s">
        <v>3364</v>
      </c>
      <c r="G186" s="104" t="s">
        <v>3522</v>
      </c>
      <c r="H186" s="104" t="s">
        <v>3427</v>
      </c>
      <c r="I186" s="104" t="s">
        <v>3351</v>
      </c>
      <c r="J186" s="104" t="s">
        <v>3505</v>
      </c>
      <c r="K186" s="104" t="s">
        <v>3677</v>
      </c>
      <c r="L186" s="104" t="s">
        <v>3849</v>
      </c>
      <c r="M186" s="104" t="s">
        <v>3366</v>
      </c>
      <c r="N186" s="104" t="s">
        <v>3277</v>
      </c>
      <c r="O186" s="107" t="s">
        <v>3361</v>
      </c>
      <c r="P186" s="108" t="s">
        <v>3789</v>
      </c>
      <c r="Q186" s="107" t="s">
        <v>3447</v>
      </c>
      <c r="R186" s="104" t="s">
        <v>3309</v>
      </c>
      <c r="S186" s="104" t="s">
        <v>3295</v>
      </c>
      <c r="T186" s="104" t="s">
        <v>3276</v>
      </c>
      <c r="U186" s="104" t="s">
        <v>3310</v>
      </c>
      <c r="V186" s="104" t="s">
        <v>3298</v>
      </c>
      <c r="W186" s="104" t="s">
        <v>3312</v>
      </c>
    </row>
    <row r="187" spans="1:23" ht="26.25" hidden="1" customHeight="1">
      <c r="A187" s="107" t="s">
        <v>3823</v>
      </c>
      <c r="B187" s="104" t="s">
        <v>3564</v>
      </c>
      <c r="C187" s="108" t="s">
        <v>3457</v>
      </c>
      <c r="D187" s="105" t="s">
        <v>3395</v>
      </c>
      <c r="E187" s="106" t="s">
        <v>3379</v>
      </c>
      <c r="F187" s="104" t="s">
        <v>3353</v>
      </c>
      <c r="G187" s="107" t="s">
        <v>3648</v>
      </c>
      <c r="H187" s="104" t="s">
        <v>3432</v>
      </c>
      <c r="I187" s="104" t="s">
        <v>3365</v>
      </c>
      <c r="J187" s="104" t="s">
        <v>3523</v>
      </c>
      <c r="K187" s="108" t="s">
        <v>3757</v>
      </c>
      <c r="L187" s="108" t="s">
        <v>3856</v>
      </c>
      <c r="M187" s="105" t="s">
        <v>3678</v>
      </c>
      <c r="N187" s="104" t="s">
        <v>3294</v>
      </c>
      <c r="O187" s="104" t="s">
        <v>3363</v>
      </c>
      <c r="P187" s="108" t="s">
        <v>3811</v>
      </c>
      <c r="Q187" s="104" t="s">
        <v>3521</v>
      </c>
      <c r="R187" s="104" t="s">
        <v>3330</v>
      </c>
      <c r="S187" s="104" t="s">
        <v>3296</v>
      </c>
      <c r="T187" s="106" t="s">
        <v>3291</v>
      </c>
      <c r="U187" s="104" t="s">
        <v>3367</v>
      </c>
      <c r="V187" s="104" t="s">
        <v>3304</v>
      </c>
      <c r="W187" s="104" t="s">
        <v>3332</v>
      </c>
    </row>
    <row r="188" spans="1:23" ht="26.25" hidden="1" customHeight="1">
      <c r="A188" s="105" t="s">
        <v>3788</v>
      </c>
      <c r="B188" s="104" t="s">
        <v>3567</v>
      </c>
      <c r="C188" s="104" t="s">
        <v>3563</v>
      </c>
      <c r="D188" s="129" t="s">
        <v>3413</v>
      </c>
      <c r="E188" s="105" t="s">
        <v>3395</v>
      </c>
      <c r="F188" s="104" t="s">
        <v>3386</v>
      </c>
      <c r="G188" s="104" t="s">
        <v>3893</v>
      </c>
      <c r="H188" s="107" t="s">
        <v>3458</v>
      </c>
      <c r="I188" s="104" t="s">
        <v>3426</v>
      </c>
      <c r="J188" s="107" t="s">
        <v>3610</v>
      </c>
      <c r="K188" s="104" t="s">
        <v>3790</v>
      </c>
      <c r="L188" s="109" t="s">
        <v>3907</v>
      </c>
      <c r="M188" s="104" t="s">
        <v>3691</v>
      </c>
      <c r="N188" s="104" t="s">
        <v>3292</v>
      </c>
      <c r="O188" s="104" t="s">
        <v>3419</v>
      </c>
      <c r="P188" s="108" t="s">
        <v>3838</v>
      </c>
      <c r="Q188" s="104" t="s">
        <v>3539</v>
      </c>
      <c r="R188" s="104" t="s">
        <v>3344</v>
      </c>
      <c r="S188" s="104" t="s">
        <v>3494</v>
      </c>
      <c r="T188" s="104" t="s">
        <v>3297</v>
      </c>
      <c r="U188" s="104" t="s">
        <v>3389</v>
      </c>
      <c r="V188" s="104" t="s">
        <v>3311</v>
      </c>
      <c r="W188" s="104" t="s">
        <v>3337</v>
      </c>
    </row>
    <row r="189" spans="1:23" ht="26.25" hidden="1" customHeight="1">
      <c r="A189" s="89"/>
      <c r="B189" s="104" t="s">
        <v>3619</v>
      </c>
      <c r="C189" s="106" t="s">
        <v>3585</v>
      </c>
      <c r="D189" s="105" t="s">
        <v>3396</v>
      </c>
      <c r="E189" s="106" t="s">
        <v>3431</v>
      </c>
      <c r="F189" s="104" t="s">
        <v>3387</v>
      </c>
      <c r="G189" s="104" t="s">
        <v>3906</v>
      </c>
      <c r="H189" s="107" t="s">
        <v>3693</v>
      </c>
      <c r="I189" s="125" t="s">
        <v>3448</v>
      </c>
      <c r="J189" s="129" t="s">
        <v>3658</v>
      </c>
      <c r="K189" s="107" t="s">
        <v>4112</v>
      </c>
      <c r="L189" s="104" t="s">
        <v>3955</v>
      </c>
      <c r="M189" s="104" t="s">
        <v>3665</v>
      </c>
      <c r="N189" s="104" t="s">
        <v>3317</v>
      </c>
      <c r="O189" s="104" t="s">
        <v>3433</v>
      </c>
      <c r="P189" s="104" t="s">
        <v>3972</v>
      </c>
      <c r="Q189" s="106" t="s">
        <v>4113</v>
      </c>
      <c r="R189" s="104" t="s">
        <v>3409</v>
      </c>
      <c r="S189" s="104" t="s">
        <v>3507</v>
      </c>
      <c r="T189" s="104" t="s">
        <v>3319</v>
      </c>
      <c r="U189" s="104" t="s">
        <v>3360</v>
      </c>
      <c r="V189" s="104" t="s">
        <v>3355</v>
      </c>
      <c r="W189" s="104" t="s">
        <v>3338</v>
      </c>
    </row>
    <row r="190" spans="1:23" ht="26.25" hidden="1" customHeight="1">
      <c r="A190" s="89"/>
      <c r="B190" s="106" t="s">
        <v>3628</v>
      </c>
      <c r="C190" s="104" t="s">
        <v>3599</v>
      </c>
      <c r="D190" s="105" t="s">
        <v>3934</v>
      </c>
      <c r="E190" s="105" t="s">
        <v>3396</v>
      </c>
      <c r="F190" s="104" t="s">
        <v>3402</v>
      </c>
      <c r="G190" s="104" t="s">
        <v>3936</v>
      </c>
      <c r="H190" s="106" t="s">
        <v>4114</v>
      </c>
      <c r="I190" s="107" t="s">
        <v>3693</v>
      </c>
      <c r="J190" s="132" t="s">
        <v>3673</v>
      </c>
      <c r="K190" s="106" t="s">
        <v>3905</v>
      </c>
      <c r="L190" s="129" t="s">
        <v>3959</v>
      </c>
      <c r="M190" s="129" t="s">
        <v>3701</v>
      </c>
      <c r="N190" s="104" t="s">
        <v>3318</v>
      </c>
      <c r="O190" s="104" t="s">
        <v>3434</v>
      </c>
      <c r="P190" s="90"/>
      <c r="Q190" s="104" t="s">
        <v>3586</v>
      </c>
      <c r="R190" s="104" t="s">
        <v>3519</v>
      </c>
      <c r="S190" s="104" t="s">
        <v>3609</v>
      </c>
      <c r="T190" s="104" t="s">
        <v>3331</v>
      </c>
      <c r="U190" s="104" t="s">
        <v>3405</v>
      </c>
      <c r="V190" s="104" t="s">
        <v>3421</v>
      </c>
      <c r="W190" s="104" t="s">
        <v>3346</v>
      </c>
    </row>
    <row r="191" spans="1:23" ht="26.25" hidden="1" customHeight="1">
      <c r="A191" s="89"/>
      <c r="B191" s="104" t="s">
        <v>3634</v>
      </c>
      <c r="C191" s="106" t="s">
        <v>3627</v>
      </c>
      <c r="D191" s="104"/>
      <c r="E191" s="105" t="s">
        <v>3935</v>
      </c>
      <c r="F191" s="104" t="s">
        <v>3391</v>
      </c>
      <c r="G191" s="104" t="s">
        <v>3937</v>
      </c>
      <c r="H191" s="104" t="s">
        <v>3698</v>
      </c>
      <c r="I191" s="104" t="s">
        <v>3699</v>
      </c>
      <c r="J191" s="104" t="s">
        <v>3674</v>
      </c>
      <c r="K191" s="104" t="s">
        <v>3954</v>
      </c>
      <c r="L191" s="108"/>
      <c r="M191" s="104" t="s">
        <v>3780</v>
      </c>
      <c r="N191" s="104" t="s">
        <v>3329</v>
      </c>
      <c r="O191" s="104" t="s">
        <v>3459</v>
      </c>
      <c r="P191" s="90"/>
      <c r="Q191" s="104" t="s">
        <v>3636</v>
      </c>
      <c r="R191" s="107" t="s">
        <v>3520</v>
      </c>
      <c r="S191" s="108" t="s">
        <v>3659</v>
      </c>
      <c r="T191" s="106" t="s">
        <v>3345</v>
      </c>
      <c r="U191" s="106" t="s">
        <v>3420</v>
      </c>
      <c r="V191" s="104" t="s">
        <v>3558</v>
      </c>
      <c r="W191" s="104" t="s">
        <v>3342</v>
      </c>
    </row>
    <row r="192" spans="1:23" ht="26.25" hidden="1" customHeight="1">
      <c r="A192" s="89"/>
      <c r="B192" s="104" t="s">
        <v>3646</v>
      </c>
      <c r="C192" s="104" t="s">
        <v>3656</v>
      </c>
      <c r="D192" s="89"/>
      <c r="E192" s="104"/>
      <c r="F192" s="104" t="s">
        <v>3392</v>
      </c>
      <c r="G192" s="104" t="s">
        <v>3943</v>
      </c>
      <c r="H192" s="104" t="s">
        <v>3725</v>
      </c>
      <c r="I192" s="129" t="s">
        <v>3726</v>
      </c>
      <c r="J192" s="104" t="s">
        <v>3675</v>
      </c>
      <c r="K192" s="108"/>
      <c r="L192" s="89"/>
      <c r="M192" s="106" t="s">
        <v>3810</v>
      </c>
      <c r="N192" s="104" t="s">
        <v>3343</v>
      </c>
      <c r="O192" s="104" t="s">
        <v>3449</v>
      </c>
      <c r="P192" s="89"/>
      <c r="Q192" s="108" t="s">
        <v>3620</v>
      </c>
      <c r="R192" s="106" t="s">
        <v>3540</v>
      </c>
      <c r="S192" s="108" t="s">
        <v>3680</v>
      </c>
      <c r="T192" s="104" t="s">
        <v>3410</v>
      </c>
      <c r="U192" s="104" t="s">
        <v>3435</v>
      </c>
      <c r="V192" s="106" t="s">
        <v>3589</v>
      </c>
      <c r="W192" s="104" t="s">
        <v>3368</v>
      </c>
    </row>
    <row r="193" spans="1:23" ht="26.25" hidden="1" customHeight="1">
      <c r="A193" s="89"/>
      <c r="B193" s="109" t="s">
        <v>3655</v>
      </c>
      <c r="C193" s="107" t="s">
        <v>3835</v>
      </c>
      <c r="D193" s="89"/>
      <c r="E193" s="89"/>
      <c r="F193" s="104" t="s">
        <v>3418</v>
      </c>
      <c r="G193" s="104" t="s">
        <v>3969</v>
      </c>
      <c r="H193" s="104" t="s">
        <v>3770</v>
      </c>
      <c r="I193" s="108" t="s">
        <v>3700</v>
      </c>
      <c r="J193" s="104" t="s">
        <v>3676</v>
      </c>
      <c r="K193" s="89"/>
      <c r="L193" s="89"/>
      <c r="M193" s="129" t="s">
        <v>3817</v>
      </c>
      <c r="N193" s="104" t="s">
        <v>3354</v>
      </c>
      <c r="O193" s="104" t="s">
        <v>3450</v>
      </c>
      <c r="P193" s="89"/>
      <c r="Q193" s="104" t="s">
        <v>3679</v>
      </c>
      <c r="R193" s="109" t="s">
        <v>3528</v>
      </c>
      <c r="S193" s="104" t="s">
        <v>3671</v>
      </c>
      <c r="T193" s="104" t="s">
        <v>3495</v>
      </c>
      <c r="U193" s="104" t="s">
        <v>3470</v>
      </c>
      <c r="V193" s="104" t="s">
        <v>3602</v>
      </c>
      <c r="W193" s="104" t="s">
        <v>3390</v>
      </c>
    </row>
    <row r="194" spans="1:23" ht="26.25" hidden="1" customHeight="1">
      <c r="A194" s="89"/>
      <c r="B194" s="104" t="s">
        <v>3647</v>
      </c>
      <c r="C194" s="105"/>
      <c r="D194" s="89"/>
      <c r="E194" s="89"/>
      <c r="F194" s="104" t="s">
        <v>3469</v>
      </c>
      <c r="G194" s="104" t="s">
        <v>4007</v>
      </c>
      <c r="H194" s="107" t="s">
        <v>4115</v>
      </c>
      <c r="I194" s="129" t="s">
        <v>3743</v>
      </c>
      <c r="J194" s="106" t="s">
        <v>3744</v>
      </c>
      <c r="K194" s="89"/>
      <c r="L194" s="89"/>
      <c r="M194" s="129" t="s">
        <v>3825</v>
      </c>
      <c r="N194" s="107" t="s">
        <v>3388</v>
      </c>
      <c r="O194" s="104" t="s">
        <v>3467</v>
      </c>
      <c r="P194" s="89"/>
      <c r="Q194" s="108" t="s">
        <v>3702</v>
      </c>
      <c r="R194" s="109" t="s">
        <v>3529</v>
      </c>
      <c r="S194" s="106" t="s">
        <v>3697</v>
      </c>
      <c r="T194" s="104" t="s">
        <v>3524</v>
      </c>
      <c r="U194" s="107" t="s">
        <v>3471</v>
      </c>
      <c r="V194" s="104" t="s">
        <v>3621</v>
      </c>
      <c r="W194" s="104" t="s">
        <v>3407</v>
      </c>
    </row>
    <row r="195" spans="1:23" ht="26.25" hidden="1" customHeight="1">
      <c r="A195" s="89"/>
      <c r="B195" s="129" t="s">
        <v>3672</v>
      </c>
      <c r="C195" s="89"/>
      <c r="D195" s="89"/>
      <c r="E195" s="89"/>
      <c r="F195" s="106" t="s">
        <v>3488</v>
      </c>
      <c r="G195" s="108"/>
      <c r="H195" s="104" t="s">
        <v>3953</v>
      </c>
      <c r="I195" s="104" t="s">
        <v>3751</v>
      </c>
      <c r="J195" s="108" t="s">
        <v>3771</v>
      </c>
      <c r="K195" s="89"/>
      <c r="L195" s="89"/>
      <c r="M195" s="104" t="s">
        <v>3837</v>
      </c>
      <c r="N195" s="104" t="s">
        <v>3403</v>
      </c>
      <c r="O195" s="104" t="s">
        <v>3464</v>
      </c>
      <c r="P195" s="90"/>
      <c r="Q195" s="104" t="s">
        <v>3745</v>
      </c>
      <c r="R195" s="109" t="s">
        <v>3556</v>
      </c>
      <c r="S195" s="106" t="s">
        <v>4116</v>
      </c>
      <c r="T195" s="104" t="s">
        <v>3525</v>
      </c>
      <c r="U195" s="104" t="s">
        <v>3496</v>
      </c>
      <c r="V195" s="129" t="s">
        <v>3617</v>
      </c>
      <c r="W195" s="104" t="s">
        <v>3408</v>
      </c>
    </row>
    <row r="196" spans="1:23" ht="26.25" hidden="1" customHeight="1">
      <c r="A196" s="133"/>
      <c r="B196" s="105" t="s">
        <v>4117</v>
      </c>
      <c r="C196" s="112"/>
      <c r="D196" s="116"/>
      <c r="E196" s="89"/>
      <c r="F196" s="104" t="s">
        <v>3538</v>
      </c>
      <c r="G196" s="89"/>
      <c r="H196" s="104" t="s">
        <v>3933</v>
      </c>
      <c r="I196" s="104" t="s">
        <v>3807</v>
      </c>
      <c r="J196" s="108" t="s">
        <v>3808</v>
      </c>
      <c r="K196" s="103"/>
      <c r="L196" s="89"/>
      <c r="M196" s="104" t="s">
        <v>3873</v>
      </c>
      <c r="N196" s="105" t="s">
        <v>3579</v>
      </c>
      <c r="O196" s="107" t="s">
        <v>4118</v>
      </c>
      <c r="P196" s="90"/>
      <c r="Q196" s="108" t="s">
        <v>3758</v>
      </c>
      <c r="R196" s="108" t="s">
        <v>3568</v>
      </c>
      <c r="S196" s="104" t="s">
        <v>3704</v>
      </c>
      <c r="T196" s="104" t="s">
        <v>3578</v>
      </c>
      <c r="U196" s="107" t="s">
        <v>3479</v>
      </c>
      <c r="V196" s="106" t="s">
        <v>3638</v>
      </c>
      <c r="W196" s="106" t="s">
        <v>3422</v>
      </c>
    </row>
    <row r="197" spans="1:23" ht="26.25" hidden="1" customHeight="1">
      <c r="A197" s="89"/>
      <c r="B197" s="105"/>
      <c r="C197" s="90"/>
      <c r="D197" s="90"/>
      <c r="E197" s="90"/>
      <c r="F197" s="104" t="s">
        <v>4119</v>
      </c>
      <c r="G197" s="89" t="s">
        <v>2172</v>
      </c>
      <c r="H197" s="104" t="s">
        <v>3947</v>
      </c>
      <c r="I197" s="105"/>
      <c r="J197" s="105"/>
      <c r="K197" s="90"/>
      <c r="L197" s="89" t="s">
        <v>2172</v>
      </c>
      <c r="M197" s="129" t="s">
        <v>3881</v>
      </c>
      <c r="N197" s="108" t="s">
        <v>3782</v>
      </c>
      <c r="O197" s="104" t="s">
        <v>3493</v>
      </c>
      <c r="P197" s="89"/>
      <c r="Q197" s="104" t="s">
        <v>3791</v>
      </c>
      <c r="R197" s="109" t="s">
        <v>3569</v>
      </c>
      <c r="S197" s="104" t="s">
        <v>3705</v>
      </c>
      <c r="T197" s="104" t="s">
        <v>3587</v>
      </c>
      <c r="U197" s="104" t="s">
        <v>3508</v>
      </c>
      <c r="V197" s="109" t="s">
        <v>3639</v>
      </c>
      <c r="W197" s="104" t="s">
        <v>3441</v>
      </c>
    </row>
    <row r="198" spans="1:23" ht="26.25" hidden="1" customHeight="1">
      <c r="A198" s="89"/>
      <c r="B198" s="89"/>
      <c r="C198" s="90"/>
      <c r="D198" s="89"/>
      <c r="E198" s="89"/>
      <c r="F198" s="108" t="s">
        <v>3615</v>
      </c>
      <c r="G198" s="89"/>
      <c r="H198" s="104" t="s">
        <v>3948</v>
      </c>
      <c r="I198" s="90"/>
      <c r="J198" s="90"/>
      <c r="K198" s="90"/>
      <c r="L198" s="89"/>
      <c r="M198" s="104" t="s">
        <v>3899</v>
      </c>
      <c r="N198" s="104" t="s">
        <v>4120</v>
      </c>
      <c r="O198" s="104" t="s">
        <v>3492</v>
      </c>
      <c r="P198" s="89"/>
      <c r="Q198" s="104" t="s">
        <v>4121</v>
      </c>
      <c r="R198" s="104" t="s">
        <v>3591</v>
      </c>
      <c r="S198" s="104" t="s">
        <v>3746</v>
      </c>
      <c r="T198" s="106" t="s">
        <v>3553</v>
      </c>
      <c r="U198" s="104" t="s">
        <v>3526</v>
      </c>
      <c r="V198" s="109" t="s">
        <v>3660</v>
      </c>
      <c r="W198" s="104" t="s">
        <v>3442</v>
      </c>
    </row>
    <row r="199" spans="1:23" ht="26.25" hidden="1" customHeight="1">
      <c r="A199" s="89"/>
      <c r="B199" s="89"/>
      <c r="C199" s="89"/>
      <c r="E199" s="89"/>
      <c r="F199" s="106" t="s">
        <v>3618</v>
      </c>
      <c r="G199" s="89"/>
      <c r="H199" s="104" t="s">
        <v>3970</v>
      </c>
      <c r="I199" s="89"/>
      <c r="J199" s="89"/>
      <c r="K199" s="90"/>
      <c r="L199" s="89"/>
      <c r="M199" s="108" t="s">
        <v>3944</v>
      </c>
      <c r="N199" s="104" t="s">
        <v>3826</v>
      </c>
      <c r="O199" s="104" t="s">
        <v>3491</v>
      </c>
      <c r="P199" s="89"/>
      <c r="Q199" s="104" t="s">
        <v>3812</v>
      </c>
      <c r="R199" s="104" t="s">
        <v>4122</v>
      </c>
      <c r="S199" s="104" t="s">
        <v>3759</v>
      </c>
      <c r="T199" s="106" t="s">
        <v>3600</v>
      </c>
      <c r="U199" s="104" t="s">
        <v>3541</v>
      </c>
      <c r="V199" s="104" t="s">
        <v>3661</v>
      </c>
      <c r="W199" s="106" t="s">
        <v>3460</v>
      </c>
    </row>
    <row r="200" spans="1:23" ht="26.25" hidden="1" customHeight="1">
      <c r="A200" s="89"/>
      <c r="B200" s="89"/>
      <c r="C200" s="89"/>
      <c r="D200" s="89"/>
      <c r="E200" s="89"/>
      <c r="F200" s="104" t="s">
        <v>3635</v>
      </c>
      <c r="G200" s="89"/>
      <c r="H200" s="104" t="s">
        <v>4123</v>
      </c>
      <c r="I200" s="89"/>
      <c r="J200" s="89"/>
      <c r="K200" s="89"/>
      <c r="L200" s="89"/>
      <c r="M200" s="109" t="s">
        <v>4124</v>
      </c>
      <c r="N200" s="108" t="s">
        <v>3876</v>
      </c>
      <c r="O200" s="134" t="s">
        <v>3490</v>
      </c>
      <c r="P200" s="89"/>
      <c r="Q200" s="104" t="s">
        <v>3828</v>
      </c>
      <c r="R200" s="129" t="s">
        <v>3626</v>
      </c>
      <c r="S200" s="135" t="s">
        <v>3772</v>
      </c>
      <c r="T200" s="104" t="s">
        <v>3651</v>
      </c>
      <c r="U200" s="104" t="s">
        <v>3487</v>
      </c>
      <c r="V200" s="104" t="s">
        <v>3684</v>
      </c>
      <c r="W200" s="104" t="s">
        <v>3509</v>
      </c>
    </row>
    <row r="201" spans="1:23" ht="26.25" hidden="1" customHeight="1">
      <c r="A201" s="89"/>
      <c r="B201" s="89"/>
      <c r="C201" s="89"/>
      <c r="D201" s="89"/>
      <c r="E201" s="89"/>
      <c r="F201" s="104" t="s">
        <v>3657</v>
      </c>
      <c r="G201" s="89"/>
      <c r="H201" s="104"/>
      <c r="I201" s="89"/>
      <c r="J201" s="89"/>
      <c r="K201" s="89"/>
      <c r="L201" s="89"/>
      <c r="M201" s="104" t="s">
        <v>4125</v>
      </c>
      <c r="N201" s="104" t="s">
        <v>3900</v>
      </c>
      <c r="O201" s="134" t="s">
        <v>3489</v>
      </c>
      <c r="P201" s="89"/>
      <c r="Q201" s="104" t="s">
        <v>3820</v>
      </c>
      <c r="R201" s="104" t="s">
        <v>3703</v>
      </c>
      <c r="S201" s="106" t="s">
        <v>3773</v>
      </c>
      <c r="T201" s="108" t="s">
        <v>3666</v>
      </c>
      <c r="U201" s="104" t="s">
        <v>3503</v>
      </c>
      <c r="V201" s="104" t="s">
        <v>3707</v>
      </c>
      <c r="W201" s="104" t="s">
        <v>3466</v>
      </c>
    </row>
    <row r="202" spans="1:23" ht="26.25" hidden="1" customHeight="1">
      <c r="A202" s="133"/>
      <c r="B202" s="133"/>
      <c r="C202" s="89"/>
      <c r="D202" s="89"/>
      <c r="E202" s="89"/>
      <c r="F202" s="104" t="s">
        <v>3785</v>
      </c>
      <c r="G202" s="90"/>
      <c r="H202" s="89"/>
      <c r="I202" s="89"/>
      <c r="J202" s="89"/>
      <c r="K202" s="103"/>
      <c r="L202" s="90"/>
      <c r="M202" s="129" t="s">
        <v>3983</v>
      </c>
      <c r="N202" s="104" t="s">
        <v>3971</v>
      </c>
      <c r="O202" s="129" t="s">
        <v>3506</v>
      </c>
      <c r="P202" s="89"/>
      <c r="Q202" s="104" t="s">
        <v>3821</v>
      </c>
      <c r="R202" s="129" t="s">
        <v>3794</v>
      </c>
      <c r="S202" s="104" t="s">
        <v>3766</v>
      </c>
      <c r="T202" s="104" t="s">
        <v>3681</v>
      </c>
      <c r="U202" s="125" t="s">
        <v>3557</v>
      </c>
      <c r="V202" s="104" t="s">
        <v>3708</v>
      </c>
      <c r="W202" s="106" t="s">
        <v>3527</v>
      </c>
    </row>
    <row r="203" spans="1:23" ht="26.25" hidden="1" customHeight="1">
      <c r="A203" s="89"/>
      <c r="B203" s="89"/>
      <c r="C203" s="89"/>
      <c r="D203" s="89"/>
      <c r="E203" s="89"/>
      <c r="F203" s="104" t="s">
        <v>3786</v>
      </c>
      <c r="G203" s="90"/>
      <c r="H203" s="89"/>
      <c r="I203" s="89"/>
      <c r="J203" s="89"/>
      <c r="K203" s="89"/>
      <c r="L203" s="89"/>
      <c r="M203" s="104" t="s">
        <v>4126</v>
      </c>
      <c r="N203" s="104" t="s">
        <v>3990</v>
      </c>
      <c r="O203" s="105" t="s">
        <v>4127</v>
      </c>
      <c r="P203" s="89"/>
      <c r="Q203" s="104" t="s">
        <v>3839</v>
      </c>
      <c r="R203" s="104" t="s">
        <v>3840</v>
      </c>
      <c r="S203" s="104" t="s">
        <v>3781</v>
      </c>
      <c r="T203" s="104" t="s">
        <v>3682</v>
      </c>
      <c r="U203" s="125" t="s">
        <v>3562</v>
      </c>
      <c r="V203" s="104" t="s">
        <v>3727</v>
      </c>
      <c r="W203" s="104" t="s">
        <v>3542</v>
      </c>
    </row>
    <row r="204" spans="1:23" ht="26.25" hidden="1" customHeight="1">
      <c r="A204" s="89"/>
      <c r="B204" s="89"/>
      <c r="C204" s="89"/>
      <c r="D204" s="89"/>
      <c r="E204" s="89"/>
      <c r="F204" s="108" t="s">
        <v>3824</v>
      </c>
      <c r="G204" s="89"/>
      <c r="H204" s="89"/>
      <c r="I204" s="89"/>
      <c r="J204" s="89"/>
      <c r="K204" s="89"/>
      <c r="L204" s="89"/>
      <c r="M204" s="129" t="s">
        <v>3984</v>
      </c>
      <c r="N204" s="104" t="s">
        <v>3968</v>
      </c>
      <c r="O204" s="108" t="s">
        <v>3756</v>
      </c>
      <c r="P204" s="116"/>
      <c r="Q204" s="104" t="s">
        <v>4128</v>
      </c>
      <c r="R204" s="104" t="s">
        <v>3882</v>
      </c>
      <c r="S204" s="104" t="s">
        <v>3792</v>
      </c>
      <c r="T204" s="104" t="s">
        <v>3683</v>
      </c>
      <c r="U204" s="125" t="s">
        <v>3565</v>
      </c>
      <c r="V204" s="104" t="s">
        <v>3719</v>
      </c>
      <c r="W204" s="125" t="s">
        <v>3554</v>
      </c>
    </row>
    <row r="205" spans="1:23" ht="26.25" hidden="1" customHeight="1">
      <c r="A205" s="89"/>
      <c r="B205" s="112"/>
      <c r="C205" s="89"/>
      <c r="D205" s="89"/>
      <c r="E205" s="90"/>
      <c r="F205" s="108" t="s">
        <v>3832</v>
      </c>
      <c r="G205" s="103"/>
      <c r="H205" s="103"/>
      <c r="I205" s="89"/>
      <c r="J205" s="89"/>
      <c r="K205" s="89"/>
      <c r="L205" s="89"/>
      <c r="M205" s="104" t="s">
        <v>4008</v>
      </c>
      <c r="N205" s="129" t="s">
        <v>4015</v>
      </c>
      <c r="O205" s="104" t="s">
        <v>3802</v>
      </c>
      <c r="P205" s="89"/>
      <c r="Q205" s="109" t="s">
        <v>3908</v>
      </c>
      <c r="R205" s="104" t="s">
        <v>3924</v>
      </c>
      <c r="S205" s="104" t="s">
        <v>3795</v>
      </c>
      <c r="T205" s="104" t="s">
        <v>3692</v>
      </c>
      <c r="U205" s="125" t="s">
        <v>3566</v>
      </c>
      <c r="V205" s="104" t="s">
        <v>3718</v>
      </c>
      <c r="W205" s="104" t="s">
        <v>3590</v>
      </c>
    </row>
    <row r="206" spans="1:23" ht="26.25" hidden="1" customHeight="1">
      <c r="A206" s="89"/>
      <c r="B206" s="90"/>
      <c r="C206" s="89"/>
      <c r="D206" s="116"/>
      <c r="E206" s="89"/>
      <c r="F206" s="108"/>
      <c r="G206" s="89"/>
      <c r="H206" s="90"/>
      <c r="I206" s="103"/>
      <c r="J206" s="103"/>
      <c r="K206" s="89"/>
      <c r="L206" s="89"/>
      <c r="M206" s="104" t="s">
        <v>4010</v>
      </c>
      <c r="N206" s="89"/>
      <c r="O206" s="104" t="s">
        <v>3827</v>
      </c>
      <c r="P206" s="89"/>
      <c r="Q206" s="104" t="s">
        <v>3923</v>
      </c>
      <c r="R206" s="108"/>
      <c r="S206" s="104" t="s">
        <v>3806</v>
      </c>
      <c r="T206" s="108" t="s">
        <v>3706</v>
      </c>
      <c r="U206" s="125" t="s">
        <v>3583</v>
      </c>
      <c r="V206" s="108" t="s">
        <v>4129</v>
      </c>
      <c r="W206" s="125" t="s">
        <v>3577</v>
      </c>
    </row>
    <row r="207" spans="1:23" ht="26.25" hidden="1" customHeight="1">
      <c r="A207" s="89"/>
      <c r="B207" s="89"/>
      <c r="C207" s="89"/>
      <c r="D207" s="89"/>
      <c r="E207" s="89"/>
      <c r="F207" s="90"/>
      <c r="G207" s="89"/>
      <c r="H207" s="90"/>
      <c r="I207" s="89"/>
      <c r="J207" s="90"/>
      <c r="K207" s="89"/>
      <c r="L207" s="103"/>
      <c r="M207" s="104" t="s">
        <v>4001</v>
      </c>
      <c r="N207" s="89"/>
      <c r="O207" s="104" t="s">
        <v>3863</v>
      </c>
      <c r="P207" s="89"/>
      <c r="Q207" s="108"/>
      <c r="R207" s="90"/>
      <c r="S207" s="104" t="s">
        <v>3829</v>
      </c>
      <c r="T207" s="104" t="s">
        <v>3819</v>
      </c>
      <c r="U207" s="106" t="s">
        <v>3588</v>
      </c>
      <c r="V207" s="104" t="s">
        <v>3717</v>
      </c>
      <c r="W207" s="104" t="s">
        <v>3685</v>
      </c>
    </row>
    <row r="208" spans="1:23" ht="26.25" hidden="1" customHeight="1">
      <c r="A208" s="89"/>
      <c r="B208" s="89"/>
      <c r="C208" s="89"/>
      <c r="D208" s="89"/>
      <c r="E208" s="89"/>
      <c r="F208" s="89"/>
      <c r="G208" s="89"/>
      <c r="H208" s="90"/>
      <c r="I208" s="89"/>
      <c r="J208" s="90"/>
      <c r="K208" s="103"/>
      <c r="L208" s="103"/>
      <c r="M208" s="129" t="s">
        <v>4011</v>
      </c>
      <c r="N208" s="89"/>
      <c r="O208" s="104" t="s">
        <v>3878</v>
      </c>
      <c r="P208" s="89"/>
      <c r="Q208" s="89"/>
      <c r="R208" s="89"/>
      <c r="S208" s="106" t="s">
        <v>3818</v>
      </c>
      <c r="T208" s="104" t="s">
        <v>3842</v>
      </c>
      <c r="U208" s="104" t="s">
        <v>3584</v>
      </c>
      <c r="V208" s="104" t="s">
        <v>3747</v>
      </c>
      <c r="W208" s="104" t="s">
        <v>3761</v>
      </c>
    </row>
    <row r="209" spans="1:23" ht="26.25" hidden="1" customHeight="1">
      <c r="A209" s="89"/>
      <c r="B209" s="89"/>
      <c r="C209" s="89"/>
      <c r="D209" s="89"/>
      <c r="E209" s="89"/>
      <c r="F209" s="89"/>
      <c r="G209" s="90"/>
      <c r="H209" s="89"/>
      <c r="I209" s="89"/>
      <c r="J209" s="103"/>
      <c r="K209" s="89"/>
      <c r="L209" s="89"/>
      <c r="M209" s="106" t="s">
        <v>4012</v>
      </c>
      <c r="N209" s="89"/>
      <c r="O209" s="129" t="s">
        <v>3874</v>
      </c>
      <c r="P209" s="116"/>
      <c r="Q209" s="89"/>
      <c r="R209" s="89"/>
      <c r="S209" s="104" t="s">
        <v>3841</v>
      </c>
      <c r="T209" s="104" t="s">
        <v>3864</v>
      </c>
      <c r="U209" s="125" t="s">
        <v>3601</v>
      </c>
      <c r="V209" s="104" t="s">
        <v>3760</v>
      </c>
      <c r="W209" s="106" t="s">
        <v>3775</v>
      </c>
    </row>
    <row r="210" spans="1:23" ht="26.25" hidden="1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90"/>
      <c r="K210" s="89"/>
      <c r="L210" s="89"/>
      <c r="M210" s="106" t="s">
        <v>4014</v>
      </c>
      <c r="N210" s="89"/>
      <c r="O210" s="129" t="s">
        <v>3875</v>
      </c>
      <c r="P210" s="89"/>
      <c r="Q210" s="89"/>
      <c r="R210" s="89"/>
      <c r="S210" s="106" t="s">
        <v>3883</v>
      </c>
      <c r="T210" s="104" t="s">
        <v>3884</v>
      </c>
      <c r="U210" s="106" t="s">
        <v>3614</v>
      </c>
      <c r="V210" s="104" t="s">
        <v>3774</v>
      </c>
      <c r="W210" s="104" t="s">
        <v>3793</v>
      </c>
    </row>
    <row r="211" spans="1:23" ht="26.25" hidden="1" customHeight="1">
      <c r="A211" s="89"/>
      <c r="B211" s="89"/>
      <c r="C211" s="89"/>
      <c r="D211" s="89"/>
      <c r="E211" s="89"/>
      <c r="F211" s="89"/>
      <c r="G211" s="89"/>
      <c r="H211" s="89"/>
      <c r="I211" s="103"/>
      <c r="J211" s="103"/>
      <c r="K211" s="89"/>
      <c r="L211" s="89"/>
      <c r="M211" s="89"/>
      <c r="N211" s="89"/>
      <c r="O211" s="104"/>
      <c r="P211" s="89"/>
      <c r="Q211" s="89"/>
      <c r="R211" s="89"/>
      <c r="S211" s="104" t="s">
        <v>3871</v>
      </c>
      <c r="T211" s="104" t="s">
        <v>3897</v>
      </c>
      <c r="U211" s="107" t="s">
        <v>3637</v>
      </c>
      <c r="V211" s="104" t="s">
        <v>3765</v>
      </c>
      <c r="W211" s="104" t="s">
        <v>3830</v>
      </c>
    </row>
    <row r="212" spans="1:23" ht="26.25" hidden="1" customHeight="1">
      <c r="A212" s="89"/>
      <c r="B212" s="89"/>
      <c r="C212" s="89"/>
      <c r="D212" s="89"/>
      <c r="E212" s="116"/>
      <c r="F212" s="89"/>
      <c r="G212" s="89"/>
      <c r="H212" s="89"/>
      <c r="I212" s="89"/>
      <c r="J212" s="89"/>
      <c r="K212" s="89"/>
      <c r="L212" s="89"/>
      <c r="M212" s="89"/>
      <c r="N212" s="89"/>
      <c r="O212" s="116"/>
      <c r="P212" s="89"/>
      <c r="Q212" s="90"/>
      <c r="R212" s="89"/>
      <c r="S212" s="104" t="s">
        <v>3872</v>
      </c>
      <c r="T212" s="104" t="s">
        <v>3903</v>
      </c>
      <c r="U212" s="108" t="s">
        <v>3695</v>
      </c>
      <c r="V212" s="104" t="s">
        <v>4130</v>
      </c>
      <c r="W212" s="129" t="s">
        <v>3833</v>
      </c>
    </row>
    <row r="213" spans="1:23" ht="26.25" hidden="1" customHeight="1">
      <c r="A213" s="89"/>
      <c r="B213" s="89"/>
      <c r="C213" s="89"/>
      <c r="D213" s="116"/>
      <c r="E213" s="89"/>
      <c r="F213" s="89"/>
      <c r="G213" s="89"/>
      <c r="H213" s="89"/>
      <c r="I213" s="89"/>
      <c r="J213" s="89"/>
      <c r="K213" s="89"/>
      <c r="L213" s="89"/>
      <c r="M213" s="89"/>
      <c r="N213" s="90"/>
      <c r="O213" s="89"/>
      <c r="P213" s="89"/>
      <c r="Q213" s="90"/>
      <c r="R213" s="89"/>
      <c r="S213" s="106" t="s">
        <v>3901</v>
      </c>
      <c r="T213" s="104" t="s">
        <v>3904</v>
      </c>
      <c r="U213" s="104" t="s">
        <v>3910</v>
      </c>
      <c r="V213" s="104" t="s">
        <v>3977</v>
      </c>
      <c r="W213" s="104" t="s">
        <v>3843</v>
      </c>
    </row>
    <row r="214" spans="1:23" ht="26.25" hidden="1" customHeight="1">
      <c r="A214" s="89"/>
      <c r="B214" s="89"/>
      <c r="C214" s="89"/>
      <c r="D214" s="89"/>
      <c r="E214" s="89"/>
      <c r="F214" s="89"/>
      <c r="G214" s="90"/>
      <c r="H214" s="112"/>
      <c r="I214" s="89"/>
      <c r="J214" s="89"/>
      <c r="K214" s="89"/>
      <c r="L214" s="89"/>
      <c r="M214" s="89"/>
      <c r="N214" s="90"/>
      <c r="O214" s="89"/>
      <c r="P214" s="89"/>
      <c r="Q214" s="89"/>
      <c r="R214" s="89"/>
      <c r="S214" s="104" t="s">
        <v>3925</v>
      </c>
      <c r="T214" s="104" t="s">
        <v>3909</v>
      </c>
      <c r="U214" s="104" t="s">
        <v>4131</v>
      </c>
      <c r="V214" s="106"/>
      <c r="W214" s="104" t="s">
        <v>3816</v>
      </c>
    </row>
    <row r="215" spans="1:23" ht="26.25" hidden="1" customHeight="1">
      <c r="A215" s="89"/>
      <c r="B215" s="89"/>
      <c r="C215" s="89"/>
      <c r="D215" s="89"/>
      <c r="E215" s="89"/>
      <c r="F215" s="89"/>
      <c r="G215" s="90"/>
      <c r="H215" s="90"/>
      <c r="I215" s="89"/>
      <c r="J215" s="112"/>
      <c r="K215" s="89"/>
      <c r="L215" s="89"/>
      <c r="M215" s="89"/>
      <c r="N215" s="90"/>
      <c r="O215" s="89"/>
      <c r="P215" s="89"/>
      <c r="Q215" s="89"/>
      <c r="R215" s="90"/>
      <c r="S215" s="104" t="s">
        <v>3941</v>
      </c>
      <c r="T215" s="104"/>
      <c r="U215" s="104" t="s">
        <v>3956</v>
      </c>
      <c r="V215" s="116"/>
      <c r="W215" s="104" t="s">
        <v>3865</v>
      </c>
    </row>
    <row r="216" spans="1:23" ht="26.25" hidden="1" customHeight="1">
      <c r="A216" s="89"/>
      <c r="B216" s="89"/>
      <c r="C216" s="89"/>
      <c r="D216" s="89"/>
      <c r="E216" s="89"/>
      <c r="F216" s="89"/>
      <c r="G216" s="89"/>
      <c r="H216" s="90"/>
      <c r="I216" s="89"/>
      <c r="J216" s="90"/>
      <c r="K216" s="89"/>
      <c r="L216" s="89"/>
      <c r="M216" s="89"/>
      <c r="N216" s="90"/>
      <c r="O216" s="89"/>
      <c r="P216" s="89"/>
      <c r="Q216" s="89"/>
      <c r="R216" s="89"/>
      <c r="S216" s="104" t="s">
        <v>4132</v>
      </c>
      <c r="T216" s="89"/>
      <c r="U216" s="104" t="s">
        <v>3942</v>
      </c>
      <c r="V216" s="116"/>
      <c r="W216" s="104" t="s">
        <v>3866</v>
      </c>
    </row>
    <row r="217" spans="1:23" ht="26.25" hidden="1" customHeight="1">
      <c r="A217" s="89"/>
      <c r="B217" s="89"/>
      <c r="C217" s="89"/>
      <c r="D217" s="89"/>
      <c r="E217" s="89"/>
      <c r="F217" s="89"/>
      <c r="G217" s="89"/>
      <c r="H217" s="90"/>
      <c r="I217" s="89"/>
      <c r="J217" s="89"/>
      <c r="K217" s="89"/>
      <c r="L217" s="89"/>
      <c r="M217" s="89"/>
      <c r="N217" s="90"/>
      <c r="O217" s="90"/>
      <c r="P217" s="89"/>
      <c r="Q217" s="89"/>
      <c r="R217" s="89"/>
      <c r="S217" s="104"/>
      <c r="T217" s="89"/>
      <c r="U217" s="104" t="s">
        <v>3973</v>
      </c>
      <c r="V217" s="116"/>
      <c r="W217" s="108" t="s">
        <v>3885</v>
      </c>
    </row>
    <row r="218" spans="1:23" ht="26.25" hidden="1" customHeight="1">
      <c r="A218" s="89"/>
      <c r="B218" s="89"/>
      <c r="C218" s="89"/>
      <c r="D218" s="89"/>
      <c r="E218" s="89"/>
      <c r="F218" s="89"/>
      <c r="G218" s="90"/>
      <c r="H218" s="90"/>
      <c r="I218" s="89"/>
      <c r="J218" s="89"/>
      <c r="K218" s="89"/>
      <c r="L218" s="89"/>
      <c r="M218" s="89"/>
      <c r="N218" s="90"/>
      <c r="O218" s="103"/>
      <c r="P218" s="89"/>
      <c r="Q218" s="89"/>
      <c r="R218" s="89"/>
      <c r="S218" s="89"/>
      <c r="T218" s="89"/>
      <c r="U218" s="104"/>
      <c r="V218" s="89"/>
      <c r="W218" s="104" t="s">
        <v>3870</v>
      </c>
    </row>
    <row r="219" spans="1:23" ht="26.25" hidden="1" customHeight="1">
      <c r="A219" s="89"/>
      <c r="B219" s="89"/>
      <c r="C219" s="89"/>
      <c r="D219" s="89"/>
      <c r="E219" s="89"/>
      <c r="F219" s="89"/>
      <c r="G219" s="89"/>
      <c r="H219" s="90"/>
      <c r="I219" s="89"/>
      <c r="J219" s="89"/>
      <c r="K219" s="89"/>
      <c r="L219" s="89"/>
      <c r="M219" s="116"/>
      <c r="N219" s="116"/>
      <c r="O219" s="103"/>
      <c r="P219" s="89"/>
      <c r="Q219" s="89"/>
      <c r="R219" s="89"/>
      <c r="S219" s="89"/>
      <c r="T219" s="89"/>
      <c r="U219" s="89"/>
      <c r="V219" s="89"/>
      <c r="W219" s="104" t="s">
        <v>3911</v>
      </c>
    </row>
    <row r="220" spans="1:23" ht="26.25" hidden="1" customHeight="1">
      <c r="A220" s="89"/>
      <c r="B220" s="89"/>
      <c r="C220" s="89"/>
      <c r="D220" s="89"/>
      <c r="E220" s="116"/>
      <c r="F220" s="116"/>
      <c r="G220" s="116"/>
      <c r="H220" s="90"/>
      <c r="I220" s="89"/>
      <c r="J220" s="89"/>
      <c r="K220" s="89"/>
      <c r="L220" s="89"/>
      <c r="M220" s="90"/>
      <c r="N220" s="90"/>
      <c r="O220" s="89"/>
      <c r="P220" s="89"/>
      <c r="Q220" s="89"/>
      <c r="R220" s="89"/>
      <c r="S220" s="89"/>
      <c r="T220" s="89"/>
      <c r="U220" s="89"/>
      <c r="V220" s="90"/>
      <c r="W220" s="104" t="s">
        <v>3895</v>
      </c>
    </row>
    <row r="221" spans="1:23" ht="26.25" hidden="1" customHeight="1">
      <c r="A221" s="89"/>
      <c r="B221" s="89"/>
      <c r="C221" s="89"/>
      <c r="D221" s="89"/>
      <c r="E221" s="89"/>
      <c r="F221" s="89"/>
      <c r="G221" s="90"/>
      <c r="H221" s="112"/>
      <c r="I221" s="89"/>
      <c r="J221" s="89"/>
      <c r="K221" s="89"/>
      <c r="L221" s="89"/>
      <c r="M221" s="89"/>
      <c r="N221" s="90"/>
      <c r="O221" s="89"/>
      <c r="P221" s="89"/>
      <c r="Q221" s="89"/>
      <c r="R221" s="89"/>
      <c r="S221" s="89"/>
      <c r="T221" s="89"/>
      <c r="U221" s="89"/>
      <c r="V221" s="90"/>
      <c r="W221" s="104" t="s">
        <v>3902</v>
      </c>
    </row>
    <row r="222" spans="1:23" ht="26.25" hidden="1" customHeight="1">
      <c r="A222" s="89"/>
      <c r="B222" s="89"/>
      <c r="C222" s="89"/>
      <c r="D222" s="89"/>
      <c r="E222" s="89"/>
      <c r="F222" s="89"/>
      <c r="G222" s="89"/>
      <c r="H222" s="112"/>
      <c r="I222" s="89"/>
      <c r="J222" s="89"/>
      <c r="K222" s="89"/>
      <c r="L222" s="89"/>
      <c r="M222" s="89"/>
      <c r="N222" s="90"/>
      <c r="O222" s="103"/>
      <c r="P222" s="89"/>
      <c r="Q222" s="89"/>
      <c r="R222" s="89"/>
      <c r="S222" s="89"/>
      <c r="T222" s="89"/>
      <c r="U222" s="89"/>
      <c r="V222" s="89"/>
      <c r="W222" s="104" t="s">
        <v>3926</v>
      </c>
    </row>
    <row r="223" spans="1:23" ht="26.25" hidden="1" customHeight="1">
      <c r="A223" s="89"/>
      <c r="B223" s="89"/>
      <c r="C223" s="89"/>
      <c r="D223" s="89"/>
      <c r="E223" s="89"/>
      <c r="F223" s="89"/>
      <c r="G223" s="89"/>
      <c r="H223" s="112"/>
      <c r="I223" s="89"/>
      <c r="J223" s="89"/>
      <c r="K223" s="89"/>
      <c r="L223" s="89"/>
      <c r="M223" s="89"/>
      <c r="N223" s="90"/>
      <c r="O223" s="89"/>
      <c r="P223" s="89"/>
      <c r="Q223" s="89"/>
      <c r="R223" s="89"/>
      <c r="S223" s="89"/>
      <c r="T223" s="89"/>
      <c r="U223" s="90"/>
      <c r="V223" s="89"/>
      <c r="W223" s="104" t="s">
        <v>3927</v>
      </c>
    </row>
    <row r="224" spans="1:23" ht="26.25" hidden="1" customHeight="1">
      <c r="A224" s="89"/>
      <c r="B224" s="89"/>
      <c r="C224" s="89"/>
      <c r="D224" s="89"/>
      <c r="E224" s="89"/>
      <c r="F224" s="89"/>
      <c r="G224" s="89"/>
      <c r="H224" s="112"/>
      <c r="I224" s="89"/>
      <c r="J224" s="89"/>
      <c r="K224" s="89"/>
      <c r="L224" s="89"/>
      <c r="M224" s="89"/>
      <c r="N224" s="90"/>
      <c r="O224" s="89"/>
      <c r="P224" s="89"/>
      <c r="Q224" s="89"/>
      <c r="R224" s="89"/>
      <c r="S224" s="89"/>
      <c r="T224" s="89"/>
      <c r="U224" s="89"/>
      <c r="V224" s="89"/>
      <c r="W224" s="104" t="s">
        <v>3945</v>
      </c>
    </row>
    <row r="225" spans="1:23" ht="26.25" hidden="1" customHeight="1">
      <c r="A225" s="89"/>
      <c r="B225" s="89"/>
      <c r="C225" s="89"/>
      <c r="D225" s="89"/>
      <c r="E225" s="89"/>
      <c r="F225" s="89"/>
      <c r="G225" s="89"/>
      <c r="H225" s="112"/>
      <c r="I225" s="89"/>
      <c r="J225" s="89"/>
      <c r="K225" s="89"/>
      <c r="L225" s="89"/>
      <c r="M225" s="89"/>
      <c r="N225" s="90"/>
      <c r="O225" s="89"/>
      <c r="P225" s="89"/>
      <c r="Q225" s="89"/>
      <c r="R225" s="89"/>
      <c r="S225" s="89"/>
      <c r="T225" s="89"/>
      <c r="U225" s="90"/>
      <c r="V225" s="90"/>
      <c r="W225" s="104" t="s">
        <v>3957</v>
      </c>
    </row>
    <row r="226" spans="1:23" ht="26.25" hidden="1" customHeight="1">
      <c r="A226" s="89"/>
      <c r="B226" s="89"/>
      <c r="C226" s="89"/>
      <c r="D226" s="89"/>
      <c r="E226" s="89"/>
      <c r="F226" s="89"/>
      <c r="G226" s="89"/>
      <c r="H226" s="112"/>
      <c r="I226" s="89"/>
      <c r="J226" s="89"/>
      <c r="K226" s="89"/>
      <c r="L226" s="89"/>
      <c r="M226" s="89"/>
      <c r="N226" s="90"/>
      <c r="O226" s="89"/>
      <c r="P226" s="89"/>
      <c r="Q226" s="89"/>
      <c r="R226" s="89"/>
      <c r="S226" s="89"/>
      <c r="T226" s="89"/>
      <c r="U226" s="89"/>
      <c r="V226" s="89"/>
      <c r="W226" s="104" t="s">
        <v>3976</v>
      </c>
    </row>
    <row r="227" spans="1:23" ht="26.25" hidden="1" customHeight="1">
      <c r="A227" s="89"/>
      <c r="B227" s="89"/>
      <c r="C227" s="89"/>
      <c r="D227" s="89"/>
      <c r="E227" s="89"/>
      <c r="F227" s="89"/>
      <c r="G227" s="89"/>
      <c r="H227" s="112"/>
      <c r="I227" s="89"/>
      <c r="J227" s="89"/>
      <c r="K227" s="89"/>
      <c r="L227" s="89"/>
      <c r="M227" s="89"/>
      <c r="N227" s="90"/>
      <c r="O227" s="89"/>
      <c r="P227" s="89"/>
      <c r="Q227" s="89"/>
      <c r="R227" s="89"/>
      <c r="S227" s="116"/>
      <c r="T227" s="89"/>
      <c r="U227" s="89"/>
      <c r="V227" s="89"/>
      <c r="W227" s="104" t="s">
        <v>3975</v>
      </c>
    </row>
    <row r="228" spans="1:23" ht="26.25" hidden="1" customHeight="1">
      <c r="A228" s="89"/>
      <c r="B228" s="89"/>
      <c r="C228" s="89"/>
      <c r="D228" s="89"/>
      <c r="E228" s="89"/>
      <c r="F228" s="89"/>
      <c r="G228" s="89"/>
      <c r="H228" s="112"/>
      <c r="I228" s="89"/>
      <c r="J228" s="89"/>
      <c r="K228" s="89"/>
      <c r="L228" s="89"/>
      <c r="M228" s="89"/>
      <c r="N228" s="90"/>
      <c r="O228" s="89"/>
      <c r="P228" s="89"/>
      <c r="Q228" s="89"/>
      <c r="R228" s="89"/>
      <c r="S228" s="89"/>
      <c r="T228" s="89"/>
      <c r="U228" s="89"/>
      <c r="V228" s="89"/>
      <c r="W228" s="104" t="s">
        <v>3974</v>
      </c>
    </row>
    <row r="229" spans="1:23" ht="26.25" hidden="1" customHeight="1">
      <c r="A229" s="89"/>
      <c r="B229" s="89"/>
      <c r="C229" s="89"/>
      <c r="D229" s="89"/>
      <c r="E229" s="89"/>
      <c r="F229" s="89"/>
      <c r="G229" s="89"/>
      <c r="H229" s="112"/>
      <c r="I229" s="89"/>
      <c r="J229" s="89"/>
      <c r="K229" s="89"/>
      <c r="L229" s="89"/>
      <c r="M229" s="89"/>
      <c r="N229" s="90"/>
      <c r="O229" s="89"/>
      <c r="P229" s="89"/>
      <c r="Q229" s="89"/>
      <c r="R229" s="89"/>
      <c r="S229" s="89"/>
      <c r="T229" s="89"/>
      <c r="U229" s="89"/>
      <c r="V229" s="89"/>
      <c r="W229" s="104" t="s">
        <v>3991</v>
      </c>
    </row>
    <row r="230" spans="1:23" ht="26.25" hidden="1" customHeight="1">
      <c r="A230" s="89"/>
      <c r="B230" s="89"/>
      <c r="C230" s="89"/>
      <c r="D230" s="89"/>
      <c r="E230" s="89"/>
      <c r="F230" s="89"/>
      <c r="G230" s="89"/>
      <c r="H230" s="112"/>
      <c r="I230" s="89"/>
      <c r="J230" s="89"/>
      <c r="K230" s="89"/>
      <c r="L230" s="89"/>
      <c r="M230" s="89"/>
      <c r="N230" s="90"/>
      <c r="O230" s="89"/>
      <c r="P230" s="89"/>
      <c r="Q230" s="89"/>
      <c r="R230" s="89"/>
      <c r="S230" s="89"/>
      <c r="T230" s="89"/>
      <c r="U230" s="89"/>
      <c r="V230" s="89"/>
      <c r="W230" s="104" t="s">
        <v>3982</v>
      </c>
    </row>
    <row r="231" spans="1:23" ht="26.25" hidden="1" customHeight="1">
      <c r="A231" s="89"/>
      <c r="B231" s="89"/>
      <c r="C231" s="89"/>
      <c r="D231" s="89"/>
      <c r="E231" s="89"/>
      <c r="F231" s="89"/>
      <c r="G231" s="89"/>
      <c r="H231" s="112"/>
      <c r="I231" s="89"/>
      <c r="J231" s="89"/>
      <c r="K231" s="89"/>
      <c r="L231" s="89"/>
      <c r="M231" s="89"/>
      <c r="N231" s="90"/>
      <c r="O231" s="89"/>
      <c r="P231" s="89"/>
      <c r="Q231" s="89"/>
      <c r="R231" s="89"/>
      <c r="S231" s="89"/>
      <c r="T231" s="89"/>
      <c r="U231" s="89"/>
      <c r="V231" s="89"/>
      <c r="W231" s="104" t="s">
        <v>4009</v>
      </c>
    </row>
    <row r="232" spans="1:23" ht="26.25" hidden="1" customHeight="1">
      <c r="A232" s="89"/>
      <c r="B232" s="89"/>
      <c r="C232" s="89"/>
      <c r="D232" s="89"/>
      <c r="E232" s="89"/>
      <c r="F232" s="89"/>
      <c r="G232" s="89"/>
      <c r="H232" s="112"/>
      <c r="I232" s="89"/>
      <c r="J232" s="89"/>
      <c r="K232" s="89"/>
      <c r="L232" s="89"/>
      <c r="M232" s="89"/>
      <c r="N232" s="90"/>
      <c r="O232" s="89"/>
      <c r="P232" s="89"/>
      <c r="Q232" s="89"/>
      <c r="R232" s="89"/>
      <c r="S232" s="89"/>
      <c r="T232" s="89"/>
      <c r="U232" s="89"/>
      <c r="V232" s="89"/>
      <c r="W232" s="104" t="s">
        <v>3999</v>
      </c>
    </row>
    <row r="233" spans="1:23" ht="26.25" hidden="1" customHeight="1">
      <c r="A233" s="89"/>
      <c r="B233" s="89"/>
      <c r="C233" s="89"/>
      <c r="D233" s="89"/>
      <c r="E233" s="89"/>
      <c r="F233" s="89"/>
      <c r="G233" s="89"/>
      <c r="H233" s="112"/>
      <c r="I233" s="89"/>
      <c r="J233" s="89"/>
      <c r="K233" s="89"/>
      <c r="L233" s="89"/>
      <c r="M233" s="89"/>
      <c r="N233" s="90"/>
      <c r="O233" s="89"/>
      <c r="P233" s="89"/>
      <c r="Q233" s="89"/>
      <c r="R233" s="89"/>
      <c r="S233" s="89"/>
      <c r="T233" s="89"/>
      <c r="U233" s="89"/>
      <c r="V233" s="89"/>
      <c r="W233" s="104" t="s">
        <v>4000</v>
      </c>
    </row>
    <row r="234" spans="1:23" s="139" customFormat="1" ht="26.25" hidden="1" customHeight="1">
      <c r="A234" s="136"/>
      <c r="B234" s="136"/>
      <c r="C234" s="136"/>
      <c r="D234" s="136"/>
      <c r="E234" s="136"/>
      <c r="F234" s="136"/>
      <c r="G234" s="136"/>
      <c r="H234" s="137"/>
      <c r="I234" s="136"/>
      <c r="J234" s="136"/>
      <c r="K234" s="136"/>
      <c r="L234" s="136"/>
      <c r="M234" s="136"/>
      <c r="N234" s="138"/>
      <c r="O234" s="136"/>
      <c r="P234" s="136"/>
      <c r="Q234" s="136"/>
      <c r="R234" s="136"/>
      <c r="S234" s="136"/>
      <c r="T234" s="136"/>
      <c r="U234" s="136"/>
      <c r="V234" s="136"/>
      <c r="W234" s="136" t="s">
        <v>4023</v>
      </c>
    </row>
    <row r="235" spans="1:23" ht="26.25" hidden="1" customHeight="1">
      <c r="A235" s="105" t="s">
        <v>4526</v>
      </c>
      <c r="B235" s="105" t="s">
        <v>4526</v>
      </c>
      <c r="C235" s="105" t="s">
        <v>4526</v>
      </c>
      <c r="D235" s="104" t="s">
        <v>4013</v>
      </c>
      <c r="E235" s="104" t="s">
        <v>4240</v>
      </c>
      <c r="F235" s="108" t="s">
        <v>4195</v>
      </c>
      <c r="G235" s="108" t="s">
        <v>4379</v>
      </c>
      <c r="H235" s="104" t="s">
        <v>4315</v>
      </c>
      <c r="I235" s="105" t="s">
        <v>4190</v>
      </c>
      <c r="J235" s="105" t="s">
        <v>4170</v>
      </c>
      <c r="K235" s="108" t="s">
        <v>4319</v>
      </c>
      <c r="L235" s="108" t="s">
        <v>4319</v>
      </c>
      <c r="M235" s="104" t="s">
        <v>4133</v>
      </c>
      <c r="N235" s="104" t="s">
        <v>4134</v>
      </c>
      <c r="O235" s="104" t="s">
        <v>4006</v>
      </c>
      <c r="P235" s="145" t="s">
        <v>4214</v>
      </c>
      <c r="Q235" s="108" t="s">
        <v>4192</v>
      </c>
      <c r="R235" s="108" t="s">
        <v>4193</v>
      </c>
      <c r="S235" s="104" t="s">
        <v>4135</v>
      </c>
      <c r="T235" s="104" t="s">
        <v>4004</v>
      </c>
      <c r="U235" s="104" t="s">
        <v>4022</v>
      </c>
      <c r="V235" s="106" t="s">
        <v>4136</v>
      </c>
      <c r="W235" s="104" t="s">
        <v>4024</v>
      </c>
    </row>
    <row r="236" spans="1:23" ht="26.25" hidden="1" customHeight="1">
      <c r="A236" s="105" t="s">
        <v>4899</v>
      </c>
      <c r="B236" s="105" t="s">
        <v>4899</v>
      </c>
      <c r="C236" s="105" t="s">
        <v>4899</v>
      </c>
      <c r="D236" s="104" t="s">
        <v>4267</v>
      </c>
      <c r="E236" s="104" t="s">
        <v>4269</v>
      </c>
      <c r="F236" s="108" t="s">
        <v>4598</v>
      </c>
      <c r="G236" s="104" t="s">
        <v>4380</v>
      </c>
      <c r="H236" s="109" t="s">
        <v>4336</v>
      </c>
      <c r="I236" s="106" t="s">
        <v>4232</v>
      </c>
      <c r="J236" s="104" t="s">
        <v>4227</v>
      </c>
      <c r="K236" s="132" t="s">
        <v>4381</v>
      </c>
      <c r="L236" s="108" t="s">
        <v>4522</v>
      </c>
      <c r="M236" s="104" t="s">
        <v>4146</v>
      </c>
      <c r="N236" s="104" t="s">
        <v>4161</v>
      </c>
      <c r="O236" s="106" t="s">
        <v>4178</v>
      </c>
      <c r="P236" s="108" t="s">
        <v>4249</v>
      </c>
      <c r="Q236" s="104" t="s">
        <v>4233</v>
      </c>
      <c r="R236" s="104" t="s">
        <v>4206</v>
      </c>
      <c r="S236" s="104" t="s">
        <v>4147</v>
      </c>
      <c r="T236" s="104" t="s">
        <v>4250</v>
      </c>
      <c r="U236" s="104" t="s">
        <v>4148</v>
      </c>
      <c r="V236" s="109" t="s">
        <v>4026</v>
      </c>
      <c r="W236" s="104" t="s">
        <v>4137</v>
      </c>
    </row>
    <row r="237" spans="1:23" ht="26.25" hidden="1" customHeight="1">
      <c r="A237" s="109" t="s">
        <v>5170</v>
      </c>
      <c r="B237" s="158" t="s">
        <v>5193</v>
      </c>
      <c r="C237" s="104" t="s">
        <v>5114</v>
      </c>
      <c r="D237" s="104" t="s">
        <v>4268</v>
      </c>
      <c r="E237" s="106" t="s">
        <v>4287</v>
      </c>
      <c r="F237" s="106" t="s">
        <v>4633</v>
      </c>
      <c r="G237" s="104" t="s">
        <v>4443</v>
      </c>
      <c r="H237" s="104" t="s">
        <v>4342</v>
      </c>
      <c r="I237" s="104" t="s">
        <v>4235</v>
      </c>
      <c r="J237" s="104" t="s">
        <v>4230</v>
      </c>
      <c r="K237" s="104" t="s">
        <v>4385</v>
      </c>
      <c r="L237" s="104" t="s">
        <v>4599</v>
      </c>
      <c r="M237" s="129" t="s">
        <v>4160</v>
      </c>
      <c r="N237" s="108" t="s">
        <v>4171</v>
      </c>
      <c r="O237" s="104" t="s">
        <v>4028</v>
      </c>
      <c r="P237" s="104" t="s">
        <v>4320</v>
      </c>
      <c r="Q237" s="104" t="s">
        <v>4264</v>
      </c>
      <c r="R237" s="104" t="s">
        <v>4234</v>
      </c>
      <c r="S237" s="104" t="s">
        <v>4140</v>
      </c>
      <c r="T237" s="104" t="s">
        <v>4295</v>
      </c>
      <c r="U237" s="104" t="s">
        <v>4180</v>
      </c>
      <c r="V237" s="109" t="s">
        <v>4027</v>
      </c>
      <c r="W237" s="104" t="s">
        <v>4029</v>
      </c>
    </row>
    <row r="238" spans="1:23" ht="26.25" hidden="1" customHeight="1">
      <c r="A238" s="104"/>
      <c r="B238" s="104"/>
      <c r="C238" s="158" t="s">
        <v>5210</v>
      </c>
      <c r="D238" s="104" t="s">
        <v>4291</v>
      </c>
      <c r="E238" s="106" t="s">
        <v>4288</v>
      </c>
      <c r="F238" s="104" t="s">
        <v>4651</v>
      </c>
      <c r="G238" s="106" t="s">
        <v>4449</v>
      </c>
      <c r="H238" s="107" t="s">
        <v>4350</v>
      </c>
      <c r="I238" s="104" t="s">
        <v>4236</v>
      </c>
      <c r="J238" s="104" t="s">
        <v>4248</v>
      </c>
      <c r="K238" s="149" t="s">
        <v>4660</v>
      </c>
      <c r="L238" s="104" t="s">
        <v>4650</v>
      </c>
      <c r="M238" s="105" t="s">
        <v>4330</v>
      </c>
      <c r="N238" s="104" t="s">
        <v>4172</v>
      </c>
      <c r="O238" s="108" t="s">
        <v>4270</v>
      </c>
      <c r="P238" s="104" t="s">
        <v>4399</v>
      </c>
      <c r="Q238" s="104" t="s">
        <v>4285</v>
      </c>
      <c r="R238" s="107" t="s">
        <v>4239</v>
      </c>
      <c r="S238" s="104" t="s">
        <v>4162</v>
      </c>
      <c r="T238" s="104" t="s">
        <v>4485</v>
      </c>
      <c r="U238" s="106" t="s">
        <v>4205</v>
      </c>
      <c r="V238" s="109" t="s">
        <v>4030</v>
      </c>
      <c r="W238" s="104" t="s">
        <v>4150</v>
      </c>
    </row>
    <row r="239" spans="1:23" ht="26.25" hidden="1" customHeight="1">
      <c r="A239" s="89"/>
      <c r="B239" s="89"/>
      <c r="C239" s="104"/>
      <c r="D239" s="104" t="s">
        <v>4305</v>
      </c>
      <c r="E239" s="106" t="s">
        <v>4292</v>
      </c>
      <c r="F239" s="104" t="s">
        <v>4714</v>
      </c>
      <c r="G239" s="109" t="s">
        <v>4476</v>
      </c>
      <c r="H239" s="131" t="s">
        <v>4372</v>
      </c>
      <c r="I239" s="104" t="s">
        <v>4247</v>
      </c>
      <c r="J239" s="104" t="s">
        <v>4306</v>
      </c>
      <c r="K239" s="106" t="s">
        <v>4665</v>
      </c>
      <c r="L239" s="104" t="s">
        <v>4702</v>
      </c>
      <c r="M239" s="108" t="s">
        <v>4481</v>
      </c>
      <c r="N239" s="104" t="s">
        <v>4177</v>
      </c>
      <c r="O239" s="132" t="s">
        <v>4337</v>
      </c>
      <c r="P239" s="104" t="s">
        <v>4417</v>
      </c>
      <c r="Q239" s="104" t="s">
        <v>4294</v>
      </c>
      <c r="R239" s="104" t="s">
        <v>4265</v>
      </c>
      <c r="S239" s="104" t="s">
        <v>4179</v>
      </c>
      <c r="T239" s="108" t="s">
        <v>4550</v>
      </c>
      <c r="U239" s="104" t="s">
        <v>4207</v>
      </c>
      <c r="V239" s="106" t="s">
        <v>4149</v>
      </c>
      <c r="W239" s="104" t="s">
        <v>4165</v>
      </c>
    </row>
    <row r="240" spans="1:23" ht="26.25" hidden="1" customHeight="1">
      <c r="A240" s="89"/>
      <c r="B240" s="89"/>
      <c r="C240" s="89"/>
      <c r="D240" s="104" t="s">
        <v>4289</v>
      </c>
      <c r="E240" s="104" t="s">
        <v>4335</v>
      </c>
      <c r="F240" s="104" t="s">
        <v>4767</v>
      </c>
      <c r="G240" s="104" t="s">
        <v>4531</v>
      </c>
      <c r="H240" s="132" t="s">
        <v>4423</v>
      </c>
      <c r="I240" s="104" t="s">
        <v>4293</v>
      </c>
      <c r="J240" s="132" t="s">
        <v>4424</v>
      </c>
      <c r="K240" s="129" t="s">
        <v>4666</v>
      </c>
      <c r="L240" s="104" t="s">
        <v>4790</v>
      </c>
      <c r="M240" s="126" t="s">
        <v>4678</v>
      </c>
      <c r="N240" s="104" t="s">
        <v>4203</v>
      </c>
      <c r="O240" s="104" t="s">
        <v>4333</v>
      </c>
      <c r="P240" s="104" t="s">
        <v>4437</v>
      </c>
      <c r="Q240" s="104" t="s">
        <v>4316</v>
      </c>
      <c r="R240" s="104" t="s">
        <v>4241</v>
      </c>
      <c r="S240" s="104" t="s">
        <v>4275</v>
      </c>
      <c r="T240" s="104" t="s">
        <v>4909</v>
      </c>
      <c r="U240" s="104" t="s">
        <v>4208</v>
      </c>
      <c r="V240" s="104" t="s">
        <v>4151</v>
      </c>
      <c r="W240" s="104" t="s">
        <v>4169</v>
      </c>
    </row>
    <row r="241" spans="1:23" ht="26.25" hidden="1" customHeight="1">
      <c r="A241" s="89"/>
      <c r="B241" s="89"/>
      <c r="C241" s="89"/>
      <c r="D241" s="106" t="s">
        <v>4317</v>
      </c>
      <c r="E241" s="106" t="s">
        <v>4349</v>
      </c>
      <c r="F241" s="104" t="s">
        <v>4786</v>
      </c>
      <c r="G241" s="109" t="s">
        <v>4547</v>
      </c>
      <c r="H241" s="104" t="s">
        <v>4479</v>
      </c>
      <c r="I241" s="132" t="s">
        <v>4382</v>
      </c>
      <c r="J241" s="104" t="s">
        <v>4425</v>
      </c>
      <c r="K241" s="104" t="s">
        <v>4675</v>
      </c>
      <c r="L241" s="108" t="s">
        <v>4921</v>
      </c>
      <c r="M241" s="104" t="s">
        <v>4716</v>
      </c>
      <c r="N241" s="104" t="s">
        <v>4213</v>
      </c>
      <c r="O241" s="104" t="s">
        <v>4364</v>
      </c>
      <c r="P241" s="104" t="s">
        <v>4450</v>
      </c>
      <c r="Q241" s="104" t="s">
        <v>4321</v>
      </c>
      <c r="R241" s="104" t="s">
        <v>4266</v>
      </c>
      <c r="S241" s="106" t="s">
        <v>4283</v>
      </c>
      <c r="T241" s="104" t="s">
        <v>4924</v>
      </c>
      <c r="U241" s="104" t="s">
        <v>4216</v>
      </c>
      <c r="V241" s="108" t="s">
        <v>4152</v>
      </c>
      <c r="W241" s="104" t="s">
        <v>4182</v>
      </c>
    </row>
    <row r="242" spans="1:23" ht="26.25" hidden="1" customHeight="1">
      <c r="A242" s="89"/>
      <c r="B242" s="89"/>
      <c r="C242" s="89"/>
      <c r="D242" s="104" t="s">
        <v>4334</v>
      </c>
      <c r="E242" s="104" t="s">
        <v>4363</v>
      </c>
      <c r="F242" s="104" t="s">
        <v>4824</v>
      </c>
      <c r="G242" s="104" t="s">
        <v>4615</v>
      </c>
      <c r="H242" s="126" t="s">
        <v>4525</v>
      </c>
      <c r="I242" s="108" t="s">
        <v>4455</v>
      </c>
      <c r="J242" s="106" t="s">
        <v>4436</v>
      </c>
      <c r="K242" s="104" t="s">
        <v>4676</v>
      </c>
      <c r="L242" s="104" t="s">
        <v>4937</v>
      </c>
      <c r="M242" s="106" t="s">
        <v>4809</v>
      </c>
      <c r="N242" s="105" t="s">
        <v>4330</v>
      </c>
      <c r="O242" s="104" t="s">
        <v>4373</v>
      </c>
      <c r="P242" s="109" t="s">
        <v>4460</v>
      </c>
      <c r="Q242" s="104" t="s">
        <v>4322</v>
      </c>
      <c r="R242" s="104" t="s">
        <v>4271</v>
      </c>
      <c r="S242" s="106" t="s">
        <v>4307</v>
      </c>
      <c r="T242" s="104" t="s">
        <v>4913</v>
      </c>
      <c r="U242" s="104" t="s">
        <v>4217</v>
      </c>
      <c r="V242" s="104" t="s">
        <v>4163</v>
      </c>
      <c r="W242" s="104" t="s">
        <v>4191</v>
      </c>
    </row>
    <row r="243" spans="1:23" ht="26.25" hidden="1" customHeight="1">
      <c r="A243" s="89"/>
      <c r="B243" s="89"/>
      <c r="C243" s="89"/>
      <c r="D243" s="104" t="s">
        <v>4393</v>
      </c>
      <c r="E243" s="104" t="s">
        <v>4691</v>
      </c>
      <c r="F243" s="104" t="s">
        <v>4845</v>
      </c>
      <c r="G243" s="108" t="s">
        <v>4634</v>
      </c>
      <c r="H243" s="105" t="s">
        <v>4881</v>
      </c>
      <c r="I243" s="129" t="s">
        <v>4457</v>
      </c>
      <c r="J243" s="106" t="s">
        <v>4431</v>
      </c>
      <c r="K243" s="106" t="s">
        <v>4679</v>
      </c>
      <c r="L243" s="104" t="s">
        <v>4972</v>
      </c>
      <c r="M243" s="104" t="s">
        <v>4820</v>
      </c>
      <c r="N243" s="104" t="s">
        <v>4357</v>
      </c>
      <c r="O243" s="132" t="s">
        <v>4423</v>
      </c>
      <c r="P243" s="109" t="s">
        <v>4416</v>
      </c>
      <c r="Q243" s="104" t="s">
        <v>4323</v>
      </c>
      <c r="R243" s="104" t="s">
        <v>4272</v>
      </c>
      <c r="S243" s="104" t="s">
        <v>4439</v>
      </c>
      <c r="T243" s="104" t="s">
        <v>4940</v>
      </c>
      <c r="U243" s="104" t="s">
        <v>4228</v>
      </c>
      <c r="V243" s="104" t="s">
        <v>4164</v>
      </c>
      <c r="W243" s="104" t="s">
        <v>4204</v>
      </c>
    </row>
    <row r="244" spans="1:23" ht="26.25" hidden="1" customHeight="1">
      <c r="A244" s="89"/>
      <c r="B244" s="89"/>
      <c r="C244" s="89"/>
      <c r="D244" s="107" t="s">
        <v>4394</v>
      </c>
      <c r="E244" s="104" t="s">
        <v>4730</v>
      </c>
      <c r="F244" s="104" t="s">
        <v>4860</v>
      </c>
      <c r="G244" s="104" t="s">
        <v>4635</v>
      </c>
      <c r="H244" s="104" t="s">
        <v>4903</v>
      </c>
      <c r="I244" s="104" t="s">
        <v>4458</v>
      </c>
      <c r="J244" s="149" t="s">
        <v>4616</v>
      </c>
      <c r="K244" s="106" t="s">
        <v>4680</v>
      </c>
      <c r="L244" s="104" t="s">
        <v>5023</v>
      </c>
      <c r="M244" s="129" t="s">
        <v>4847</v>
      </c>
      <c r="N244" s="104" t="s">
        <v>4397</v>
      </c>
      <c r="O244" s="104" t="s">
        <v>4510</v>
      </c>
      <c r="P244" s="104" t="s">
        <v>4482</v>
      </c>
      <c r="Q244" s="104" t="s">
        <v>4324</v>
      </c>
      <c r="R244" s="104" t="s">
        <v>4284</v>
      </c>
      <c r="S244" s="106" t="s">
        <v>4451</v>
      </c>
      <c r="T244" s="104" t="s">
        <v>4956</v>
      </c>
      <c r="U244" s="104" t="s">
        <v>4229</v>
      </c>
      <c r="V244" s="104" t="s">
        <v>4181</v>
      </c>
      <c r="W244" s="109" t="s">
        <v>4196</v>
      </c>
    </row>
    <row r="245" spans="1:23" ht="26.25" hidden="1" customHeight="1">
      <c r="A245" s="89"/>
      <c r="B245" s="89"/>
      <c r="C245" s="89"/>
      <c r="D245" s="107" t="s">
        <v>4395</v>
      </c>
      <c r="E245" s="109" t="s">
        <v>4723</v>
      </c>
      <c r="F245" s="104" t="s">
        <v>4859</v>
      </c>
      <c r="G245" s="104" t="s">
        <v>4757</v>
      </c>
      <c r="H245" s="104" t="s">
        <v>4968</v>
      </c>
      <c r="I245" s="104" t="s">
        <v>4480</v>
      </c>
      <c r="J245" s="104" t="s">
        <v>4700</v>
      </c>
      <c r="K245" s="104" t="s">
        <v>4677</v>
      </c>
      <c r="L245" s="104" t="s">
        <v>5030</v>
      </c>
      <c r="M245" s="108" t="s">
        <v>4906</v>
      </c>
      <c r="N245" s="104" t="s">
        <v>4398</v>
      </c>
      <c r="O245" s="104" t="s">
        <v>4492</v>
      </c>
      <c r="P245" s="104" t="s">
        <v>4513</v>
      </c>
      <c r="Q245" s="109" t="s">
        <v>4365</v>
      </c>
      <c r="R245" s="104" t="s">
        <v>4290</v>
      </c>
      <c r="S245" s="106" t="s">
        <v>4414</v>
      </c>
      <c r="T245" s="104" t="s">
        <v>4974</v>
      </c>
      <c r="U245" s="104" t="s">
        <v>4273</v>
      </c>
      <c r="V245" s="104" t="s">
        <v>4183</v>
      </c>
      <c r="W245" s="109" t="s">
        <v>4197</v>
      </c>
    </row>
    <row r="246" spans="1:23" ht="26.25" hidden="1" customHeight="1">
      <c r="A246" s="89"/>
      <c r="B246" s="89"/>
      <c r="C246" s="89"/>
      <c r="D246" s="104" t="s">
        <v>4422</v>
      </c>
      <c r="E246" s="104" t="s">
        <v>4749</v>
      </c>
      <c r="F246" s="104" t="s">
        <v>4901</v>
      </c>
      <c r="G246" s="104" t="s">
        <v>4787</v>
      </c>
      <c r="H246" s="104" t="s">
        <v>5092</v>
      </c>
      <c r="I246" s="104" t="s">
        <v>4472</v>
      </c>
      <c r="J246" s="108" t="s">
        <v>4719</v>
      </c>
      <c r="K246" s="104" t="s">
        <v>4697</v>
      </c>
      <c r="L246" s="104" t="s">
        <v>5036</v>
      </c>
      <c r="M246" s="104" t="s">
        <v>4911</v>
      </c>
      <c r="N246" s="108" t="s">
        <v>4444</v>
      </c>
      <c r="O246" s="104" t="s">
        <v>4493</v>
      </c>
      <c r="P246" s="104" t="s">
        <v>4538</v>
      </c>
      <c r="Q246" s="108" t="s">
        <v>4383</v>
      </c>
      <c r="R246" s="104" t="s">
        <v>4368</v>
      </c>
      <c r="S246" s="104" t="s">
        <v>4484</v>
      </c>
      <c r="T246" s="104" t="s">
        <v>5005</v>
      </c>
      <c r="U246" s="104" t="s">
        <v>4296</v>
      </c>
      <c r="V246" s="104" t="s">
        <v>4331</v>
      </c>
      <c r="W246" s="109" t="s">
        <v>4215</v>
      </c>
    </row>
    <row r="247" spans="1:23" ht="26.25" hidden="1" customHeight="1">
      <c r="A247" s="89"/>
      <c r="B247" s="89"/>
      <c r="C247" s="89"/>
      <c r="D247" s="104" t="s">
        <v>4407</v>
      </c>
      <c r="E247" s="104" t="s">
        <v>4756</v>
      </c>
      <c r="F247" s="104" t="s">
        <v>4967</v>
      </c>
      <c r="G247" s="108" t="s">
        <v>4811</v>
      </c>
      <c r="H247" s="107" t="s">
        <v>5109</v>
      </c>
      <c r="I247" s="109" t="s">
        <v>4473</v>
      </c>
      <c r="J247" s="104" t="s">
        <v>4736</v>
      </c>
      <c r="K247" s="104" t="s">
        <v>4715</v>
      </c>
      <c r="L247" s="104" t="s">
        <v>5043</v>
      </c>
      <c r="M247" s="104" t="s">
        <v>4912</v>
      </c>
      <c r="N247" s="101" t="s">
        <v>4459</v>
      </c>
      <c r="O247" s="108" t="s">
        <v>4532</v>
      </c>
      <c r="P247" s="104" t="s">
        <v>4603</v>
      </c>
      <c r="Q247" s="104" t="s">
        <v>4384</v>
      </c>
      <c r="R247" s="104" t="s">
        <v>4374</v>
      </c>
      <c r="S247" s="104" t="s">
        <v>4575</v>
      </c>
      <c r="T247" s="104" t="s">
        <v>5129</v>
      </c>
      <c r="U247" s="106" t="s">
        <v>4308</v>
      </c>
      <c r="V247" s="104" t="s">
        <v>4486</v>
      </c>
      <c r="W247" s="104" t="s">
        <v>4231</v>
      </c>
    </row>
    <row r="248" spans="1:23" ht="26.25" hidden="1" customHeight="1">
      <c r="A248" s="89"/>
      <c r="B248" s="89"/>
      <c r="C248" s="89"/>
      <c r="D248" s="104" t="s">
        <v>4435</v>
      </c>
      <c r="E248" s="104" t="s">
        <v>4766</v>
      </c>
      <c r="F248" s="104" t="s">
        <v>4981</v>
      </c>
      <c r="G248" s="104" t="s">
        <v>4825</v>
      </c>
      <c r="H248" s="107" t="s">
        <v>5126</v>
      </c>
      <c r="I248" s="109" t="s">
        <v>4494</v>
      </c>
      <c r="J248" s="104" t="s">
        <v>4750</v>
      </c>
      <c r="K248" s="104" t="s">
        <v>4726</v>
      </c>
      <c r="L248" s="104" t="s">
        <v>5052</v>
      </c>
      <c r="M248" s="106" t="s">
        <v>4919</v>
      </c>
      <c r="N248" s="101" t="s">
        <v>4521</v>
      </c>
      <c r="O248" s="108" t="s">
        <v>4555</v>
      </c>
      <c r="P248" s="104" t="s">
        <v>4961</v>
      </c>
      <c r="Q248" s="104" t="s">
        <v>4400</v>
      </c>
      <c r="R248" s="104" t="s">
        <v>4369</v>
      </c>
      <c r="S248" s="104" t="s">
        <v>4821</v>
      </c>
      <c r="T248" s="104"/>
      <c r="U248" s="106" t="s">
        <v>4325</v>
      </c>
      <c r="V248" s="104" t="s">
        <v>4468</v>
      </c>
      <c r="W248" s="104" t="s">
        <v>4237</v>
      </c>
    </row>
    <row r="249" spans="1:23" ht="26.25" hidden="1" customHeight="1">
      <c r="A249" s="89"/>
      <c r="B249" s="89"/>
      <c r="C249" s="89"/>
      <c r="D249" s="104" t="s">
        <v>4430</v>
      </c>
      <c r="E249" s="104" t="s">
        <v>4776</v>
      </c>
      <c r="F249" s="104" t="s">
        <v>4982</v>
      </c>
      <c r="G249" s="104" t="s">
        <v>4846</v>
      </c>
      <c r="H249" s="104" t="s">
        <v>5161</v>
      </c>
      <c r="I249" s="104" t="s">
        <v>4495</v>
      </c>
      <c r="J249" s="108" t="s">
        <v>4760</v>
      </c>
      <c r="K249" s="154" t="s">
        <v>4751</v>
      </c>
      <c r="L249" s="158" t="s">
        <v>5128</v>
      </c>
      <c r="M249" s="104" t="s">
        <v>4922</v>
      </c>
      <c r="N249" s="108" t="s">
        <v>4572</v>
      </c>
      <c r="O249" s="108" t="s">
        <v>4556</v>
      </c>
      <c r="P249" s="104" t="s">
        <v>5147</v>
      </c>
      <c r="Q249" s="104" t="s">
        <v>4438</v>
      </c>
      <c r="R249" s="104" t="s">
        <v>4442</v>
      </c>
      <c r="S249" s="104" t="s">
        <v>5004</v>
      </c>
      <c r="T249" s="89"/>
      <c r="U249" s="104" t="s">
        <v>4534</v>
      </c>
      <c r="V249" s="104" t="s">
        <v>4469</v>
      </c>
      <c r="W249" s="104" t="s">
        <v>4238</v>
      </c>
    </row>
    <row r="250" spans="1:23" ht="26.25" hidden="1" customHeight="1">
      <c r="A250" s="89"/>
      <c r="B250" s="89"/>
      <c r="C250" s="89"/>
      <c r="D250" s="104" t="s">
        <v>4448</v>
      </c>
      <c r="E250" s="104" t="s">
        <v>4815</v>
      </c>
      <c r="F250" s="104" t="s">
        <v>4995</v>
      </c>
      <c r="G250" s="109" t="s">
        <v>4861</v>
      </c>
      <c r="H250" s="162" t="s">
        <v>5177</v>
      </c>
      <c r="I250" s="126" t="s">
        <v>4520</v>
      </c>
      <c r="J250" s="104" t="s">
        <v>4789</v>
      </c>
      <c r="K250" s="108" t="s">
        <v>4758</v>
      </c>
      <c r="L250" s="104" t="s">
        <v>5163</v>
      </c>
      <c r="M250" s="104" t="s">
        <v>4938</v>
      </c>
      <c r="N250" s="108" t="s">
        <v>4573</v>
      </c>
      <c r="O250" s="104" t="s">
        <v>4574</v>
      </c>
      <c r="P250" s="104" t="s">
        <v>5237</v>
      </c>
      <c r="Q250" s="104" t="s">
        <v>4415</v>
      </c>
      <c r="R250" s="104" t="s">
        <v>4514</v>
      </c>
      <c r="S250" s="104" t="s">
        <v>5224</v>
      </c>
      <c r="T250" s="89"/>
      <c r="U250" s="104" t="s">
        <v>4569</v>
      </c>
      <c r="V250" s="104" t="s">
        <v>4470</v>
      </c>
      <c r="W250" s="106" t="s">
        <v>4251</v>
      </c>
    </row>
    <row r="251" spans="1:23" ht="26.25" hidden="1" customHeight="1">
      <c r="A251" s="89"/>
      <c r="B251" s="89"/>
      <c r="C251" s="89"/>
      <c r="D251" s="105" t="s">
        <v>4526</v>
      </c>
      <c r="E251" s="104" t="s">
        <v>4900</v>
      </c>
      <c r="F251" s="104" t="s">
        <v>4994</v>
      </c>
      <c r="G251" s="109" t="s">
        <v>4874</v>
      </c>
      <c r="H251" s="158" t="s">
        <v>5219</v>
      </c>
      <c r="I251" s="105" t="s">
        <v>4870</v>
      </c>
      <c r="J251" s="108" t="s">
        <v>4785</v>
      </c>
      <c r="K251" s="108" t="s">
        <v>4759</v>
      </c>
      <c r="L251" s="104" t="s">
        <v>5180</v>
      </c>
      <c r="M251" s="158" t="s">
        <v>4964</v>
      </c>
      <c r="N251" s="104" t="s">
        <v>4583</v>
      </c>
      <c r="O251" s="104" t="s">
        <v>4582</v>
      </c>
      <c r="P251" s="104"/>
      <c r="Q251" s="104" t="s">
        <v>4454</v>
      </c>
      <c r="R251" s="104" t="s">
        <v>4519</v>
      </c>
      <c r="S251" s="104"/>
      <c r="T251" s="89"/>
      <c r="U251" s="106" t="s">
        <v>4576</v>
      </c>
      <c r="V251" s="104" t="s">
        <v>4584</v>
      </c>
      <c r="W251" s="109" t="s">
        <v>4252</v>
      </c>
    </row>
    <row r="252" spans="1:23" ht="26.25" hidden="1" customHeight="1">
      <c r="A252" s="89"/>
      <c r="B252" s="89"/>
      <c r="C252" s="89"/>
      <c r="D252" s="105" t="s">
        <v>4899</v>
      </c>
      <c r="E252" s="104" t="s">
        <v>4993</v>
      </c>
      <c r="F252" s="104" t="s">
        <v>5024</v>
      </c>
      <c r="G252" s="108" t="s">
        <v>4902</v>
      </c>
      <c r="H252" s="104"/>
      <c r="I252" s="108" t="s">
        <v>4878</v>
      </c>
      <c r="J252" s="104" t="s">
        <v>4788</v>
      </c>
      <c r="K252" s="104" t="s">
        <v>4813</v>
      </c>
      <c r="L252" s="104"/>
      <c r="M252" s="104" t="s">
        <v>4970</v>
      </c>
      <c r="N252" s="104" t="s">
        <v>4600</v>
      </c>
      <c r="O252" s="129" t="s">
        <v>4601</v>
      </c>
      <c r="P252" s="89"/>
      <c r="Q252" s="104" t="s">
        <v>4461</v>
      </c>
      <c r="R252" s="104" t="s">
        <v>4533</v>
      </c>
      <c r="S252" s="89"/>
      <c r="T252" s="89"/>
      <c r="U252" s="104" t="s">
        <v>4909</v>
      </c>
      <c r="V252" s="104" t="s">
        <v>4585</v>
      </c>
      <c r="W252" s="104" t="s">
        <v>4253</v>
      </c>
    </row>
    <row r="253" spans="1:23" ht="26.25" hidden="1" customHeight="1">
      <c r="A253" s="89"/>
      <c r="B253" s="89"/>
      <c r="C253" s="89"/>
      <c r="D253" s="104" t="s">
        <v>5073</v>
      </c>
      <c r="E253" s="104" t="s">
        <v>5033</v>
      </c>
      <c r="F253" s="108" t="s">
        <v>5212</v>
      </c>
      <c r="G253" s="104" t="s">
        <v>4957</v>
      </c>
      <c r="H253" s="103"/>
      <c r="I253" s="108" t="s">
        <v>4886</v>
      </c>
      <c r="J253" s="104" t="s">
        <v>4812</v>
      </c>
      <c r="K253" s="104" t="s">
        <v>4905</v>
      </c>
      <c r="L253" s="89"/>
      <c r="M253" s="104" t="s">
        <v>4983</v>
      </c>
      <c r="N253" s="104" t="s">
        <v>4597</v>
      </c>
      <c r="O253" s="104" t="s">
        <v>4620</v>
      </c>
      <c r="P253" s="89"/>
      <c r="Q253" s="104" t="s">
        <v>4471</v>
      </c>
      <c r="R253" s="106" t="s">
        <v>4549</v>
      </c>
      <c r="S253" s="89"/>
      <c r="T253" s="89"/>
      <c r="U253" s="104" t="s">
        <v>4925</v>
      </c>
      <c r="V253" s="104" t="s">
        <v>4602</v>
      </c>
      <c r="W253" s="104" t="s">
        <v>4274</v>
      </c>
    </row>
    <row r="254" spans="1:23" ht="26.25" hidden="1" customHeight="1">
      <c r="A254" s="89"/>
      <c r="B254" s="89"/>
      <c r="C254" s="89"/>
      <c r="D254" s="107" t="s">
        <v>5124</v>
      </c>
      <c r="E254" s="106" t="s">
        <v>5042</v>
      </c>
      <c r="F254" s="106" t="s">
        <v>5213</v>
      </c>
      <c r="G254" s="158" t="s">
        <v>5034</v>
      </c>
      <c r="H254" s="89"/>
      <c r="I254" s="108" t="s">
        <v>4904</v>
      </c>
      <c r="J254" s="108" t="s">
        <v>5090</v>
      </c>
      <c r="K254" s="108" t="s">
        <v>4971</v>
      </c>
      <c r="L254" s="89"/>
      <c r="M254" s="104" t="s">
        <v>4984</v>
      </c>
      <c r="N254" s="104" t="s">
        <v>4627</v>
      </c>
      <c r="O254" s="104" t="s">
        <v>4637</v>
      </c>
      <c r="P254" s="116"/>
      <c r="Q254" s="108" t="s">
        <v>4483</v>
      </c>
      <c r="R254" s="104" t="s">
        <v>4621</v>
      </c>
      <c r="S254" s="89"/>
      <c r="T254" s="89"/>
      <c r="U254" s="104" t="s">
        <v>5006</v>
      </c>
      <c r="V254" s="104" t="s">
        <v>4622</v>
      </c>
      <c r="W254" s="109" t="s">
        <v>4281</v>
      </c>
    </row>
    <row r="255" spans="1:23" ht="26.25" hidden="1" customHeight="1">
      <c r="A255" s="89"/>
      <c r="B255" s="89"/>
      <c r="C255" s="89"/>
      <c r="D255" s="104" t="s">
        <v>5143</v>
      </c>
      <c r="E255" s="131" t="s">
        <v>5072</v>
      </c>
      <c r="F255" s="104" t="s">
        <v>5227</v>
      </c>
      <c r="G255" s="104" t="s">
        <v>5081</v>
      </c>
      <c r="H255" s="116"/>
      <c r="I255" s="104" t="s">
        <v>4958</v>
      </c>
      <c r="J255" s="108" t="s">
        <v>5144</v>
      </c>
      <c r="K255" s="159" t="s">
        <v>5013</v>
      </c>
      <c r="L255" s="89"/>
      <c r="M255" s="104" t="s">
        <v>4985</v>
      </c>
      <c r="N255" s="108" t="s">
        <v>4636</v>
      </c>
      <c r="O255" s="104" t="s">
        <v>4653</v>
      </c>
      <c r="P255" s="89"/>
      <c r="Q255" s="104" t="s">
        <v>4509</v>
      </c>
      <c r="R255" s="104" t="s">
        <v>4848</v>
      </c>
      <c r="S255" s="143"/>
      <c r="T255" s="89"/>
      <c r="U255" s="104" t="s">
        <v>5106</v>
      </c>
      <c r="V255" s="109" t="s">
        <v>4655</v>
      </c>
      <c r="W255" s="109" t="s">
        <v>4282</v>
      </c>
    </row>
    <row r="256" spans="1:23" ht="26.25" hidden="1" customHeight="1">
      <c r="A256" s="89"/>
      <c r="B256" s="89"/>
      <c r="C256" s="89"/>
      <c r="D256" s="104"/>
      <c r="E256" s="104" t="s">
        <v>5108</v>
      </c>
      <c r="F256" s="104"/>
      <c r="G256" s="104" t="s">
        <v>5136</v>
      </c>
      <c r="H256" s="89"/>
      <c r="I256" s="104" t="s">
        <v>4969</v>
      </c>
      <c r="J256" s="108" t="s">
        <v>5156</v>
      </c>
      <c r="K256" s="158" t="s">
        <v>5059</v>
      </c>
      <c r="L256" s="89"/>
      <c r="M256" s="104" t="s">
        <v>4988</v>
      </c>
      <c r="N256" s="108" t="s">
        <v>4652</v>
      </c>
      <c r="O256" s="104" t="s">
        <v>4667</v>
      </c>
      <c r="P256" s="89"/>
      <c r="Q256" s="104" t="s">
        <v>4548</v>
      </c>
      <c r="R256" s="104" t="s">
        <v>4915</v>
      </c>
      <c r="S256" s="89"/>
      <c r="T256" s="89"/>
      <c r="U256" s="104"/>
      <c r="V256" s="104" t="s">
        <v>4668</v>
      </c>
      <c r="W256" s="104" t="s">
        <v>4297</v>
      </c>
    </row>
    <row r="257" spans="1:23" ht="26.25" hidden="1" customHeight="1">
      <c r="A257" s="89"/>
      <c r="B257" s="89"/>
      <c r="C257" s="89"/>
      <c r="D257" s="89"/>
      <c r="E257" s="104" t="s">
        <v>5125</v>
      </c>
      <c r="F257" s="89"/>
      <c r="G257" s="161"/>
      <c r="H257" s="89"/>
      <c r="I257" s="107" t="s">
        <v>4996</v>
      </c>
      <c r="J257" s="108" t="s">
        <v>5162</v>
      </c>
      <c r="K257" s="108" t="s">
        <v>5060</v>
      </c>
      <c r="L257" s="89"/>
      <c r="M257" s="104" t="s">
        <v>4992</v>
      </c>
      <c r="N257" s="104" t="s">
        <v>4701</v>
      </c>
      <c r="O257" s="104" t="s">
        <v>4727</v>
      </c>
      <c r="P257" s="89"/>
      <c r="Q257" s="106" t="s">
        <v>4612</v>
      </c>
      <c r="R257" s="104" t="s">
        <v>4980</v>
      </c>
      <c r="S257" s="89"/>
      <c r="T257" s="89"/>
      <c r="U257" s="89"/>
      <c r="V257" s="104" t="s">
        <v>4659</v>
      </c>
      <c r="W257" s="104" t="s">
        <v>4298</v>
      </c>
    </row>
    <row r="258" spans="1:23" ht="26.25" hidden="1" customHeight="1">
      <c r="A258" s="89"/>
      <c r="B258" s="89"/>
      <c r="C258" s="89"/>
      <c r="D258" s="89"/>
      <c r="E258" s="106" t="s">
        <v>5066</v>
      </c>
      <c r="F258" s="153"/>
      <c r="G258" s="169"/>
      <c r="H258" s="89"/>
      <c r="I258" s="107" t="s">
        <v>5035</v>
      </c>
      <c r="J258" s="104" t="s">
        <v>5146</v>
      </c>
      <c r="K258" s="108" t="s">
        <v>5075</v>
      </c>
      <c r="L258" s="89"/>
      <c r="M258" s="104" t="s">
        <v>5001</v>
      </c>
      <c r="N258" s="106" t="s">
        <v>4806</v>
      </c>
      <c r="O258" s="155" t="s">
        <v>4810</v>
      </c>
      <c r="P258" s="89"/>
      <c r="Q258" s="104" t="s">
        <v>4654</v>
      </c>
      <c r="R258" s="104" t="s">
        <v>5002</v>
      </c>
      <c r="S258" s="89"/>
      <c r="T258" s="89"/>
      <c r="U258" s="89"/>
      <c r="V258" s="104" t="s">
        <v>4698</v>
      </c>
      <c r="W258" s="104" t="s">
        <v>4299</v>
      </c>
    </row>
    <row r="259" spans="1:23" ht="26.25" hidden="1" customHeight="1">
      <c r="A259" s="89"/>
      <c r="B259" s="89"/>
      <c r="C259" s="89"/>
      <c r="D259" s="89"/>
      <c r="E259" s="104" t="s">
        <v>5149</v>
      </c>
      <c r="F259" s="153"/>
      <c r="G259" s="89"/>
      <c r="H259" s="112"/>
      <c r="I259" s="104" t="s">
        <v>5067</v>
      </c>
      <c r="J259" s="109" t="s">
        <v>5157</v>
      </c>
      <c r="K259" s="104" t="s">
        <v>5094</v>
      </c>
      <c r="L259" s="89"/>
      <c r="M259" s="108" t="s">
        <v>5000</v>
      </c>
      <c r="N259" s="104" t="s">
        <v>4849</v>
      </c>
      <c r="O259" s="104" t="s">
        <v>4875</v>
      </c>
      <c r="P259" s="89"/>
      <c r="Q259" s="104" t="s">
        <v>4728</v>
      </c>
      <c r="R259" s="104" t="s">
        <v>5003</v>
      </c>
      <c r="S259" s="143"/>
      <c r="T259" s="116"/>
      <c r="U259" s="89"/>
      <c r="V259" s="104" t="s">
        <v>4717</v>
      </c>
      <c r="W259" s="104" t="s">
        <v>4300</v>
      </c>
    </row>
    <row r="260" spans="1:23" ht="26.25" hidden="1" customHeight="1">
      <c r="A260" s="89"/>
      <c r="B260" s="89"/>
      <c r="C260" s="89"/>
      <c r="D260" s="89"/>
      <c r="E260" s="104" t="s">
        <v>5176</v>
      </c>
      <c r="F260" s="153"/>
      <c r="G260" s="90"/>
      <c r="H260" s="112"/>
      <c r="I260" s="108" t="s">
        <v>5074</v>
      </c>
      <c r="J260" s="104" t="s">
        <v>5186</v>
      </c>
      <c r="K260" s="104" t="s">
        <v>5104</v>
      </c>
      <c r="L260" s="116"/>
      <c r="M260" s="104" t="s">
        <v>4999</v>
      </c>
      <c r="N260" s="106" t="s">
        <v>4862</v>
      </c>
      <c r="O260" s="104" t="s">
        <v>4877</v>
      </c>
      <c r="P260" s="89"/>
      <c r="Q260" s="104" t="s">
        <v>4821</v>
      </c>
      <c r="R260" s="104" t="s">
        <v>5037</v>
      </c>
      <c r="S260" s="89"/>
      <c r="T260" s="89"/>
      <c r="U260" s="89"/>
      <c r="V260" s="104" t="s">
        <v>4752</v>
      </c>
      <c r="W260" s="104" t="s">
        <v>4301</v>
      </c>
    </row>
    <row r="261" spans="1:23" ht="26.25" hidden="1" customHeight="1">
      <c r="A261" s="89"/>
      <c r="B261" s="89"/>
      <c r="C261" s="89"/>
      <c r="D261" s="89"/>
      <c r="E261" s="104" t="s">
        <v>5148</v>
      </c>
      <c r="F261" s="153"/>
      <c r="G261" s="90"/>
      <c r="H261" s="112"/>
      <c r="I261" s="108" t="s">
        <v>5085</v>
      </c>
      <c r="J261" s="104" t="s">
        <v>5187</v>
      </c>
      <c r="K261" s="108" t="s">
        <v>5111</v>
      </c>
      <c r="L261" s="89"/>
      <c r="M261" s="104" t="s">
        <v>4998</v>
      </c>
      <c r="N261" s="104" t="s">
        <v>4880</v>
      </c>
      <c r="O261" s="104" t="s">
        <v>4908</v>
      </c>
      <c r="P261" s="89"/>
      <c r="Q261" s="104" t="s">
        <v>4961</v>
      </c>
      <c r="R261" s="104" t="s">
        <v>5054</v>
      </c>
      <c r="S261" s="89"/>
      <c r="T261" s="89"/>
      <c r="U261" s="89"/>
      <c r="V261" s="104" t="s">
        <v>4768</v>
      </c>
      <c r="W261" s="104" t="s">
        <v>4309</v>
      </c>
    </row>
    <row r="262" spans="1:23" ht="26.25" hidden="1" customHeight="1">
      <c r="A262" s="89"/>
      <c r="B262" s="89"/>
      <c r="C262" s="89"/>
      <c r="D262" s="89"/>
      <c r="E262" s="104" t="s">
        <v>5197</v>
      </c>
      <c r="F262" s="153"/>
      <c r="G262" s="90"/>
      <c r="H262" s="112"/>
      <c r="I262" s="104" t="s">
        <v>5091</v>
      </c>
      <c r="J262" s="104" t="s">
        <v>5188</v>
      </c>
      <c r="K262" s="104" t="s">
        <v>5127</v>
      </c>
      <c r="L262" s="89"/>
      <c r="M262" s="104" t="s">
        <v>4997</v>
      </c>
      <c r="N262" s="104" t="s">
        <v>4885</v>
      </c>
      <c r="O262" s="104" t="s">
        <v>4923</v>
      </c>
      <c r="P262" s="89"/>
      <c r="Q262" s="104" t="s">
        <v>5053</v>
      </c>
      <c r="R262" s="131" t="s">
        <v>5051</v>
      </c>
      <c r="S262" s="116"/>
      <c r="T262" s="89"/>
      <c r="U262" s="89"/>
      <c r="V262" s="104" t="s">
        <v>4962</v>
      </c>
      <c r="W262" s="106" t="s">
        <v>4326</v>
      </c>
    </row>
    <row r="263" spans="1:23" ht="26.25" hidden="1" customHeight="1">
      <c r="A263" s="89"/>
      <c r="B263" s="89"/>
      <c r="C263" s="89"/>
      <c r="D263" s="89"/>
      <c r="E263" s="168" t="s">
        <v>5171</v>
      </c>
      <c r="F263" s="153"/>
      <c r="G263" s="90"/>
      <c r="H263" s="112"/>
      <c r="I263" s="104" t="s">
        <v>5093</v>
      </c>
      <c r="J263" s="108" t="s">
        <v>5198</v>
      </c>
      <c r="K263" s="104" t="s">
        <v>5179</v>
      </c>
      <c r="L263" s="89"/>
      <c r="M263" s="158" t="s">
        <v>5025</v>
      </c>
      <c r="N263" s="104" t="s">
        <v>4907</v>
      </c>
      <c r="O263" s="104" t="s">
        <v>4963</v>
      </c>
      <c r="P263" s="89"/>
      <c r="Q263" s="109" t="s">
        <v>5050</v>
      </c>
      <c r="R263" s="108" t="s">
        <v>5112</v>
      </c>
      <c r="S263" s="89"/>
      <c r="T263" s="89"/>
      <c r="U263" s="89"/>
      <c r="V263" s="104" t="s">
        <v>5007</v>
      </c>
      <c r="W263" s="104" t="s">
        <v>4351</v>
      </c>
    </row>
    <row r="264" spans="1:23" ht="26.25" hidden="1" customHeight="1">
      <c r="A264" s="89"/>
      <c r="B264" s="89"/>
      <c r="C264" s="89"/>
      <c r="D264" s="89"/>
      <c r="E264" s="104" t="s">
        <v>5211</v>
      </c>
      <c r="F264" s="153"/>
      <c r="G264" s="89"/>
      <c r="H264" s="112"/>
      <c r="I264" s="104" t="s">
        <v>5110</v>
      </c>
      <c r="J264" s="106" t="s">
        <v>5199</v>
      </c>
      <c r="K264" s="106" t="s">
        <v>5169</v>
      </c>
      <c r="L264" s="89"/>
      <c r="M264" s="104" t="s">
        <v>5014</v>
      </c>
      <c r="N264" s="108" t="s">
        <v>4914</v>
      </c>
      <c r="O264" s="104" t="s">
        <v>4973</v>
      </c>
      <c r="P264" s="89"/>
      <c r="Q264" s="106" t="s">
        <v>5151</v>
      </c>
      <c r="R264" s="104" t="s">
        <v>5228</v>
      </c>
      <c r="S264" s="89"/>
      <c r="T264" s="89"/>
      <c r="U264" s="89"/>
      <c r="V264" s="104" t="s">
        <v>5038</v>
      </c>
      <c r="W264" s="104" t="s">
        <v>4356</v>
      </c>
    </row>
    <row r="265" spans="1:23" ht="26.25" hidden="1" customHeight="1">
      <c r="A265" s="89"/>
      <c r="B265" s="89"/>
      <c r="C265" s="89"/>
      <c r="D265" s="89"/>
      <c r="E265" s="104" t="s">
        <v>5189</v>
      </c>
      <c r="F265" s="89"/>
      <c r="G265" s="89"/>
      <c r="H265" s="112"/>
      <c r="I265" s="104" t="s">
        <v>5150</v>
      </c>
      <c r="J265" s="106" t="s">
        <v>5200</v>
      </c>
      <c r="K265" s="104"/>
      <c r="L265" s="103"/>
      <c r="M265" s="158" t="s">
        <v>5028</v>
      </c>
      <c r="N265" s="104" t="s">
        <v>4939</v>
      </c>
      <c r="O265" s="104" t="s">
        <v>5207</v>
      </c>
      <c r="P265" s="89"/>
      <c r="Q265" s="104"/>
      <c r="R265" s="104"/>
      <c r="S265" s="89"/>
      <c r="T265" s="89"/>
      <c r="U265" s="89"/>
      <c r="V265" s="107" t="s">
        <v>5107</v>
      </c>
      <c r="W265" s="104" t="s">
        <v>4366</v>
      </c>
    </row>
    <row r="266" spans="1:23" ht="26.25" hidden="1" customHeight="1">
      <c r="A266" s="89"/>
      <c r="B266" s="89"/>
      <c r="C266" s="89"/>
      <c r="D266" s="89"/>
      <c r="E266" s="109" t="s">
        <v>5194</v>
      </c>
      <c r="F266" s="89"/>
      <c r="G266" s="153"/>
      <c r="H266" s="89"/>
      <c r="I266" s="108" t="s">
        <v>5175</v>
      </c>
      <c r="J266" s="104" t="s">
        <v>5221</v>
      </c>
      <c r="K266" s="103"/>
      <c r="L266" s="103"/>
      <c r="M266" s="104" t="s">
        <v>5032</v>
      </c>
      <c r="N266" s="104" t="s">
        <v>4933</v>
      </c>
      <c r="O266" s="104"/>
      <c r="P266" s="89"/>
      <c r="Q266" s="89"/>
      <c r="R266" s="89"/>
      <c r="S266" s="89"/>
      <c r="T266" s="89"/>
      <c r="U266" s="89"/>
      <c r="V266" s="104"/>
      <c r="W266" s="104" t="s">
        <v>4440</v>
      </c>
    </row>
    <row r="267" spans="1:23" ht="26.25" hidden="1" customHeight="1">
      <c r="A267" s="89"/>
      <c r="B267" s="89"/>
      <c r="C267" s="153"/>
      <c r="D267" s="89"/>
      <c r="E267" s="104" t="s">
        <v>5226</v>
      </c>
      <c r="F267" s="89"/>
      <c r="G267" s="153"/>
      <c r="H267" s="143"/>
      <c r="I267" s="159" t="s">
        <v>5178</v>
      </c>
      <c r="J267" s="104" t="s">
        <v>5236</v>
      </c>
      <c r="K267" s="89"/>
      <c r="L267" s="89"/>
      <c r="M267" s="104"/>
      <c r="N267" s="158" t="s">
        <v>4959</v>
      </c>
      <c r="O267" s="89"/>
      <c r="P267" s="89"/>
      <c r="Q267" s="89"/>
      <c r="R267" s="89"/>
      <c r="S267" s="89"/>
      <c r="T267" s="89"/>
      <c r="U267" s="89"/>
      <c r="V267" s="153"/>
      <c r="W267" s="104" t="s">
        <v>4396</v>
      </c>
    </row>
    <row r="268" spans="1:23" ht="26.25" hidden="1" customHeight="1">
      <c r="A268" s="89"/>
      <c r="B268" s="89"/>
      <c r="C268" s="89"/>
      <c r="D268" s="89"/>
      <c r="E268" s="104"/>
      <c r="F268" s="89"/>
      <c r="G268" s="153"/>
      <c r="H268" s="89"/>
      <c r="I268" s="108" t="s">
        <v>5214</v>
      </c>
      <c r="J268" s="104"/>
      <c r="K268" s="89"/>
      <c r="L268" s="89"/>
      <c r="M268" s="89"/>
      <c r="N268" s="104" t="s">
        <v>5203</v>
      </c>
      <c r="O268" s="89"/>
      <c r="P268" s="89"/>
      <c r="Q268" s="89"/>
      <c r="R268" s="89"/>
      <c r="S268" s="89"/>
      <c r="T268" s="89"/>
      <c r="U268" s="89"/>
      <c r="V268" s="153"/>
      <c r="W268" s="106" t="s">
        <v>4452</v>
      </c>
    </row>
    <row r="269" spans="1:23" ht="26.25" hidden="1" customHeight="1">
      <c r="A269" s="89"/>
      <c r="B269" s="153"/>
      <c r="C269" s="153"/>
      <c r="D269" s="89"/>
      <c r="E269" s="89"/>
      <c r="F269" s="89"/>
      <c r="G269" s="153"/>
      <c r="H269" s="89"/>
      <c r="I269" s="104" t="s">
        <v>5235</v>
      </c>
      <c r="J269" s="144"/>
      <c r="K269" s="153"/>
      <c r="L269" s="89"/>
      <c r="M269" s="153"/>
      <c r="N269" s="104"/>
      <c r="O269" s="89"/>
      <c r="P269" s="89"/>
      <c r="Q269" s="89"/>
      <c r="R269" s="89"/>
      <c r="S269" s="89"/>
      <c r="T269" s="89"/>
      <c r="U269" s="89"/>
      <c r="V269" s="89"/>
      <c r="W269" s="106" t="s">
        <v>4464</v>
      </c>
    </row>
    <row r="270" spans="1:23" ht="26.25" hidden="1" customHeight="1">
      <c r="A270" s="89"/>
      <c r="B270" s="89"/>
      <c r="C270" s="89"/>
      <c r="D270" s="90"/>
      <c r="E270" s="89"/>
      <c r="F270" s="89"/>
      <c r="G270" s="153"/>
      <c r="H270" s="112"/>
      <c r="I270" s="104"/>
      <c r="J270" s="89"/>
      <c r="K270" s="89"/>
      <c r="L270" s="112"/>
      <c r="M270" s="143"/>
      <c r="N270" s="89"/>
      <c r="O270" s="89"/>
      <c r="P270" s="89"/>
      <c r="Q270" s="116"/>
      <c r="R270" s="89"/>
      <c r="S270" s="89"/>
      <c r="T270" s="89"/>
      <c r="U270" s="89"/>
      <c r="V270" s="89"/>
      <c r="W270" s="104" t="s">
        <v>4463</v>
      </c>
    </row>
    <row r="271" spans="1:23" ht="26.25" hidden="1" customHeight="1">
      <c r="A271" s="89"/>
      <c r="B271" s="89"/>
      <c r="C271" s="89"/>
      <c r="D271" s="153"/>
      <c r="E271" s="90"/>
      <c r="F271" s="90"/>
      <c r="G271" s="153"/>
      <c r="H271" s="89"/>
      <c r="I271" s="89"/>
      <c r="J271" s="90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104" t="s">
        <v>4462</v>
      </c>
    </row>
    <row r="272" spans="1:23" ht="26.25" hidden="1" customHeight="1">
      <c r="A272" s="89"/>
      <c r="B272" s="89"/>
      <c r="C272" s="89"/>
      <c r="D272" s="89"/>
      <c r="E272" s="153"/>
      <c r="F272" s="153"/>
      <c r="G272" s="153"/>
      <c r="H272" s="89"/>
      <c r="I272" s="89"/>
      <c r="J272" s="89"/>
      <c r="K272" s="89"/>
      <c r="L272" s="89"/>
      <c r="M272" s="89"/>
      <c r="N272" s="89"/>
      <c r="O272" s="89"/>
      <c r="P272" s="89"/>
      <c r="Q272" s="116"/>
      <c r="R272" s="89"/>
      <c r="S272" s="89"/>
      <c r="T272" s="89"/>
      <c r="U272" s="89"/>
      <c r="V272" s="153"/>
      <c r="W272" s="104" t="s">
        <v>4488</v>
      </c>
    </row>
    <row r="273" spans="1:23" ht="26.25" hidden="1" customHeight="1">
      <c r="A273" s="89"/>
      <c r="B273" s="89"/>
      <c r="C273" s="89"/>
      <c r="D273" s="89"/>
      <c r="E273" s="153"/>
      <c r="F273" s="89"/>
      <c r="G273" s="153"/>
      <c r="H273" s="153"/>
      <c r="I273" s="89"/>
      <c r="J273" s="89"/>
      <c r="K273" s="89"/>
      <c r="L273" s="89"/>
      <c r="M273" s="89"/>
      <c r="N273" s="89"/>
      <c r="O273" s="89"/>
      <c r="P273" s="89"/>
      <c r="Q273" s="143"/>
      <c r="R273" s="89"/>
      <c r="S273" s="89"/>
      <c r="T273" s="89"/>
      <c r="U273" s="89"/>
      <c r="V273" s="89"/>
      <c r="W273" s="106" t="s">
        <v>4489</v>
      </c>
    </row>
    <row r="274" spans="1:23" ht="26.25" hidden="1" customHeight="1">
      <c r="A274" s="89"/>
      <c r="B274" s="89"/>
      <c r="C274" s="89"/>
      <c r="D274" s="89"/>
      <c r="E274" s="90"/>
      <c r="F274" s="153"/>
      <c r="G274" s="153"/>
      <c r="H274" s="160"/>
      <c r="I274" s="90"/>
      <c r="J274" s="89"/>
      <c r="K274" s="89"/>
      <c r="L274" s="89"/>
      <c r="M274" s="89"/>
      <c r="N274" s="89"/>
      <c r="O274" s="153"/>
      <c r="P274" s="89"/>
      <c r="Q274" s="90"/>
      <c r="R274" s="90"/>
      <c r="S274" s="89"/>
      <c r="T274" s="89"/>
      <c r="U274" s="89"/>
      <c r="V274" s="153"/>
      <c r="W274" s="106" t="s">
        <v>4490</v>
      </c>
    </row>
    <row r="275" spans="1:23" ht="26.25" hidden="1" customHeight="1">
      <c r="A275" s="89"/>
      <c r="B275" s="89"/>
      <c r="C275" s="89"/>
      <c r="D275" s="89"/>
      <c r="E275" s="153"/>
      <c r="F275" s="89"/>
      <c r="G275" s="89"/>
      <c r="H275" s="89"/>
      <c r="I275" s="89"/>
      <c r="J275" s="89"/>
      <c r="K275" s="89"/>
      <c r="L275" s="89"/>
      <c r="M275" s="89"/>
      <c r="N275" s="89"/>
      <c r="O275" s="153"/>
      <c r="P275" s="89"/>
      <c r="Q275" s="143"/>
      <c r="R275" s="89"/>
      <c r="S275" s="89"/>
      <c r="T275" s="89"/>
      <c r="U275" s="89"/>
      <c r="V275" s="89"/>
      <c r="W275" s="129" t="s">
        <v>4491</v>
      </c>
    </row>
    <row r="276" spans="1:23" ht="26.25" hidden="1" customHeight="1">
      <c r="A276" s="89"/>
      <c r="B276" s="89"/>
      <c r="C276" s="89"/>
      <c r="D276" s="89"/>
      <c r="E276" s="89"/>
      <c r="F276" s="116"/>
      <c r="G276" s="89"/>
      <c r="H276" s="89"/>
      <c r="I276" s="90"/>
      <c r="J276" s="116"/>
      <c r="K276" s="89"/>
      <c r="L276" s="89"/>
      <c r="M276" s="89"/>
      <c r="N276" s="89"/>
      <c r="O276" s="153"/>
      <c r="P276" s="89"/>
      <c r="Q276" s="143"/>
      <c r="R276" s="89"/>
      <c r="S276" s="89"/>
      <c r="T276" s="89"/>
      <c r="U276" s="89"/>
      <c r="V276" s="89"/>
      <c r="W276" s="104" t="s">
        <v>4515</v>
      </c>
    </row>
    <row r="277" spans="1:23" ht="26.25" hidden="1" customHeight="1">
      <c r="A277" s="89"/>
      <c r="B277" s="89"/>
      <c r="C277" s="89"/>
      <c r="D277" s="89"/>
      <c r="E277" s="163"/>
      <c r="F277" s="89"/>
      <c r="G277" s="163"/>
      <c r="H277" s="112"/>
      <c r="I277" s="89"/>
      <c r="J277" s="153"/>
      <c r="K277" s="89"/>
      <c r="L277" s="89"/>
      <c r="M277" s="89"/>
      <c r="N277" s="89"/>
      <c r="O277" s="89"/>
      <c r="P277" s="89"/>
      <c r="Q277" s="89"/>
      <c r="R277" s="143"/>
      <c r="S277" s="112"/>
      <c r="T277" s="89"/>
      <c r="U277" s="89"/>
      <c r="V277" s="89"/>
      <c r="W277" s="104" t="s">
        <v>4518</v>
      </c>
    </row>
    <row r="278" spans="1:23" ht="26.25" hidden="1" customHeight="1">
      <c r="A278" s="89"/>
      <c r="B278" s="89"/>
      <c r="C278" s="89"/>
      <c r="D278" s="89"/>
      <c r="E278" s="116"/>
      <c r="F278" s="89"/>
      <c r="G278" s="89"/>
      <c r="H278" s="160"/>
      <c r="I278" s="90"/>
      <c r="J278" s="90"/>
      <c r="K278" s="160"/>
      <c r="L278" s="89"/>
      <c r="M278" s="143"/>
      <c r="N278" s="89"/>
      <c r="O278" s="160"/>
      <c r="P278" s="160"/>
      <c r="Q278" s="89"/>
      <c r="R278" s="153"/>
      <c r="S278" s="89"/>
      <c r="T278" s="89"/>
      <c r="U278" s="89"/>
      <c r="V278" s="89"/>
      <c r="W278" s="104" t="s">
        <v>4535</v>
      </c>
    </row>
    <row r="279" spans="1:23" ht="26.25" hidden="1" customHeight="1">
      <c r="A279" s="89"/>
      <c r="B279" s="89"/>
      <c r="C279" s="89"/>
      <c r="D279" s="89"/>
      <c r="E279" s="116"/>
      <c r="F279" s="89"/>
      <c r="G279" s="89"/>
      <c r="H279" s="112"/>
      <c r="I279" s="116"/>
      <c r="J279" s="116"/>
      <c r="K279" s="89"/>
      <c r="L279" s="89"/>
      <c r="M279" s="153"/>
      <c r="N279" s="89"/>
      <c r="O279" s="89"/>
      <c r="P279" s="89"/>
      <c r="Q279" s="153"/>
      <c r="R279" s="89"/>
      <c r="S279" s="89"/>
      <c r="T279" s="89" t="s">
        <v>5139</v>
      </c>
      <c r="U279" s="89"/>
      <c r="V279" s="89"/>
      <c r="W279" s="104" t="s">
        <v>4551</v>
      </c>
    </row>
    <row r="280" spans="1:23" ht="26.25" hidden="1" customHeight="1">
      <c r="A280" s="89"/>
      <c r="B280" s="89"/>
      <c r="C280" s="89"/>
      <c r="D280" s="89"/>
      <c r="E280" s="116"/>
      <c r="F280" s="89"/>
      <c r="G280" s="89"/>
      <c r="H280" s="112"/>
      <c r="I280" s="89"/>
      <c r="J280" s="89"/>
      <c r="K280" s="89"/>
      <c r="L280" s="89"/>
      <c r="M280" s="89"/>
      <c r="N280" s="89"/>
      <c r="O280" s="153"/>
      <c r="P280" s="153"/>
      <c r="Q280" s="160"/>
      <c r="R280" s="89"/>
      <c r="S280" s="89"/>
      <c r="T280" s="89"/>
      <c r="U280" s="89"/>
      <c r="V280" s="89"/>
      <c r="W280" s="104" t="s">
        <v>4570</v>
      </c>
    </row>
    <row r="281" spans="1:23" ht="26.25" hidden="1" customHeight="1">
      <c r="A281" s="89"/>
      <c r="B281" s="89"/>
      <c r="C281" s="89"/>
      <c r="D281" s="89"/>
      <c r="E281" s="116"/>
      <c r="F281" s="89"/>
      <c r="G281" s="89"/>
      <c r="H281" s="112"/>
      <c r="I281" s="89"/>
      <c r="J281" s="153"/>
      <c r="K281" s="89"/>
      <c r="L281" s="89"/>
      <c r="M281" s="89"/>
      <c r="N281" s="89"/>
      <c r="O281" s="89"/>
      <c r="P281" s="89"/>
      <c r="Q281" s="90"/>
      <c r="R281" s="89"/>
      <c r="S281" s="89"/>
      <c r="T281" s="89"/>
      <c r="U281" s="89"/>
      <c r="V281" s="89"/>
      <c r="W281" s="104" t="s">
        <v>4539</v>
      </c>
    </row>
    <row r="282" spans="1:23" ht="26.25" hidden="1" customHeight="1">
      <c r="A282" s="89"/>
      <c r="B282" s="89"/>
      <c r="C282" s="89"/>
      <c r="D282" s="89"/>
      <c r="E282" s="89"/>
      <c r="F282" s="89"/>
      <c r="G282" s="89"/>
      <c r="H282" s="112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104" t="s">
        <v>4577</v>
      </c>
    </row>
    <row r="283" spans="1:23" ht="26.25" hidden="1" customHeight="1">
      <c r="A283" s="89"/>
      <c r="B283" s="89"/>
      <c r="C283" s="89"/>
      <c r="D283" s="89"/>
      <c r="E283" s="89"/>
      <c r="F283" s="89"/>
      <c r="G283" s="89"/>
      <c r="H283" s="112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104" t="s">
        <v>4581</v>
      </c>
    </row>
    <row r="284" spans="1:23" ht="26.25" hidden="1" customHeight="1">
      <c r="A284" s="89"/>
      <c r="B284" s="89"/>
      <c r="C284" s="89"/>
      <c r="D284" s="89"/>
      <c r="E284" s="89"/>
      <c r="F284" s="89"/>
      <c r="G284" s="89"/>
      <c r="H284" s="112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106" t="s">
        <v>4586</v>
      </c>
    </row>
    <row r="285" spans="1:23" ht="26.25" hidden="1" customHeight="1">
      <c r="A285" s="89"/>
      <c r="B285" s="89"/>
      <c r="C285" s="89"/>
      <c r="D285" s="89"/>
      <c r="E285" s="89"/>
      <c r="F285" s="89"/>
      <c r="G285" s="89"/>
      <c r="H285" s="112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104" t="s">
        <v>4587</v>
      </c>
    </row>
    <row r="286" spans="1:23" ht="26.25" hidden="1" customHeight="1">
      <c r="A286" s="89"/>
      <c r="B286" s="89"/>
      <c r="C286" s="89"/>
      <c r="D286" s="89"/>
      <c r="E286" s="89"/>
      <c r="F286" s="89"/>
      <c r="G286" s="89"/>
      <c r="H286" s="112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104" t="s">
        <v>4623</v>
      </c>
    </row>
    <row r="287" spans="1:23" ht="26.25" hidden="1" customHeight="1">
      <c r="A287" s="89"/>
      <c r="B287" s="89"/>
      <c r="C287" s="89"/>
      <c r="D287" s="89"/>
      <c r="E287" s="89"/>
      <c r="F287" s="89"/>
      <c r="G287" s="89"/>
      <c r="H287" s="112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104" t="s">
        <v>4611</v>
      </c>
    </row>
    <row r="288" spans="1:23" ht="26.25" hidden="1" customHeight="1">
      <c r="A288" s="89"/>
      <c r="B288" s="89"/>
      <c r="C288" s="89"/>
      <c r="D288" s="89"/>
      <c r="E288" s="89"/>
      <c r="F288" s="89"/>
      <c r="G288" s="89"/>
      <c r="H288" s="112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 t="s">
        <v>2172</v>
      </c>
      <c r="U288" s="89"/>
      <c r="V288" s="89"/>
      <c r="W288" s="104" t="s">
        <v>4638</v>
      </c>
    </row>
    <row r="289" spans="1:23" ht="26.25" hidden="1" customHeight="1">
      <c r="A289" s="89"/>
      <c r="B289" s="89"/>
      <c r="C289" s="89"/>
      <c r="D289" s="89"/>
      <c r="E289" s="89"/>
      <c r="F289" s="89"/>
      <c r="G289" s="89"/>
      <c r="H289" s="112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104" t="s">
        <v>4669</v>
      </c>
    </row>
    <row r="290" spans="1:23" ht="26.25" hidden="1" customHeight="1">
      <c r="A290" s="89"/>
      <c r="B290" s="89"/>
      <c r="C290" s="89"/>
      <c r="D290" s="89"/>
      <c r="E290" s="89"/>
      <c r="F290" s="89"/>
      <c r="G290" s="89"/>
      <c r="H290" s="112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104" t="s">
        <v>4699</v>
      </c>
    </row>
    <row r="291" spans="1:23" ht="26.25" hidden="1" customHeight="1">
      <c r="A291" s="89"/>
      <c r="B291" s="89"/>
      <c r="C291" s="89"/>
      <c r="D291" s="89"/>
      <c r="E291" s="89"/>
      <c r="F291" s="89"/>
      <c r="G291" s="89"/>
      <c r="H291" s="112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104" t="s">
        <v>4718</v>
      </c>
    </row>
    <row r="292" spans="1:23" ht="26.25" hidden="1" customHeight="1">
      <c r="A292" s="89"/>
      <c r="B292" s="89"/>
      <c r="C292" s="89"/>
      <c r="D292" s="89"/>
      <c r="E292" s="89"/>
      <c r="F292" s="89"/>
      <c r="G292" s="89"/>
      <c r="H292" s="112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104" t="s">
        <v>4729</v>
      </c>
    </row>
    <row r="293" spans="1:23" ht="26.25" hidden="1" customHeight="1">
      <c r="A293" s="89"/>
      <c r="B293" s="89"/>
      <c r="C293" s="89"/>
      <c r="D293" s="89"/>
      <c r="E293" s="89"/>
      <c r="F293" s="89"/>
      <c r="G293" s="89"/>
      <c r="H293" s="112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106" t="s">
        <v>4735</v>
      </c>
    </row>
    <row r="294" spans="1:23" ht="26.25" hidden="1" customHeight="1">
      <c r="A294" s="89"/>
      <c r="B294" s="89"/>
      <c r="C294" s="89"/>
      <c r="D294" s="89"/>
      <c r="E294" s="89"/>
      <c r="F294" s="89"/>
      <c r="G294" s="89"/>
      <c r="H294" s="112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104" t="s">
        <v>4753</v>
      </c>
    </row>
    <row r="295" spans="1:23" ht="26.25" hidden="1" customHeight="1">
      <c r="A295" s="89"/>
      <c r="B295" s="89"/>
      <c r="C295" s="89"/>
      <c r="D295" s="89"/>
      <c r="E295" s="89"/>
      <c r="F295" s="89"/>
      <c r="G295" s="89"/>
      <c r="H295" s="112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104" t="s">
        <v>4754</v>
      </c>
    </row>
    <row r="296" spans="1:23" ht="26.25" hidden="1" customHeight="1">
      <c r="A296" s="89"/>
      <c r="B296" s="89"/>
      <c r="C296" s="89"/>
      <c r="D296" s="89"/>
      <c r="E296" s="89"/>
      <c r="F296" s="89"/>
      <c r="G296" s="89"/>
      <c r="H296" s="112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104" t="s">
        <v>4755</v>
      </c>
    </row>
    <row r="297" spans="1:23" ht="26.25" hidden="1" customHeight="1">
      <c r="A297" s="89"/>
      <c r="B297" s="89"/>
      <c r="C297" s="89"/>
      <c r="D297" s="89"/>
      <c r="E297" s="89"/>
      <c r="F297" s="89"/>
      <c r="G297" s="89"/>
      <c r="H297" s="112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104" t="s">
        <v>4769</v>
      </c>
    </row>
    <row r="298" spans="1:23" ht="26.25" hidden="1" customHeight="1">
      <c r="A298" s="89"/>
      <c r="B298" s="89"/>
      <c r="C298" s="89"/>
      <c r="D298" s="89"/>
      <c r="E298" s="89"/>
      <c r="F298" s="89"/>
      <c r="G298" s="89"/>
      <c r="H298" s="112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104" t="s">
        <v>4775</v>
      </c>
    </row>
    <row r="299" spans="1:23" ht="26.25" hidden="1" customHeight="1">
      <c r="A299" s="89"/>
      <c r="B299" s="89"/>
      <c r="C299" s="89"/>
      <c r="D299" s="89"/>
      <c r="E299" s="89"/>
      <c r="F299" s="89"/>
      <c r="G299" s="89"/>
      <c r="H299" s="112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104" t="s">
        <v>4791</v>
      </c>
    </row>
    <row r="300" spans="1:23" ht="26.25" hidden="1" customHeight="1">
      <c r="A300" s="89"/>
      <c r="B300" s="89"/>
      <c r="C300" s="89"/>
      <c r="D300" s="89"/>
      <c r="E300" s="89"/>
      <c r="F300" s="89"/>
      <c r="G300" s="89"/>
      <c r="H300" s="112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104" t="s">
        <v>4814</v>
      </c>
    </row>
    <row r="301" spans="1:23" ht="26.25" hidden="1" customHeight="1">
      <c r="A301" s="89"/>
      <c r="B301" s="89"/>
      <c r="C301" s="89"/>
      <c r="D301" s="89"/>
      <c r="E301" s="89"/>
      <c r="F301" s="89"/>
      <c r="G301" s="89"/>
      <c r="H301" s="112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104" t="s">
        <v>4853</v>
      </c>
    </row>
    <row r="302" spans="1:23" ht="26.25" hidden="1" customHeight="1">
      <c r="A302" s="89"/>
      <c r="B302" s="89"/>
      <c r="C302" s="89"/>
      <c r="D302" s="89"/>
      <c r="E302" s="89"/>
      <c r="F302" s="89"/>
      <c r="G302" s="89"/>
      <c r="H302" s="112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104" t="s">
        <v>4863</v>
      </c>
    </row>
    <row r="303" spans="1:23" ht="26.25" hidden="1" customHeight="1">
      <c r="A303" s="89"/>
      <c r="B303" s="89"/>
      <c r="C303" s="89"/>
      <c r="D303" s="89"/>
      <c r="E303" s="89"/>
      <c r="F303" s="89"/>
      <c r="G303" s="89"/>
      <c r="H303" s="112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104" t="s">
        <v>4910</v>
      </c>
    </row>
    <row r="304" spans="1:23" ht="26.25" hidden="1" customHeight="1">
      <c r="A304" s="89"/>
      <c r="B304" s="89"/>
      <c r="C304" s="89"/>
      <c r="D304" s="89"/>
      <c r="E304" s="89"/>
      <c r="F304" s="89"/>
      <c r="G304" s="89"/>
      <c r="H304" s="112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104" t="s">
        <v>4960</v>
      </c>
    </row>
    <row r="305" spans="1:23" ht="26.25" hidden="1" customHeight="1">
      <c r="A305" s="89"/>
      <c r="B305" s="89"/>
      <c r="C305" s="89"/>
      <c r="D305" s="89"/>
      <c r="E305" s="89"/>
      <c r="F305" s="89"/>
      <c r="G305" s="89"/>
      <c r="H305" s="112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104" t="s">
        <v>5008</v>
      </c>
    </row>
    <row r="306" spans="1:23" ht="26.25" hidden="1" customHeight="1">
      <c r="A306" s="89"/>
      <c r="B306" s="89"/>
      <c r="C306" s="89"/>
      <c r="D306" s="89"/>
      <c r="E306" s="89"/>
      <c r="F306" s="89"/>
      <c r="G306" s="89"/>
      <c r="H306" s="112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106" t="s">
        <v>5026</v>
      </c>
    </row>
    <row r="307" spans="1:23" ht="26.25" hidden="1" customHeight="1">
      <c r="A307" s="89"/>
      <c r="B307" s="89"/>
      <c r="C307" s="89"/>
      <c r="D307" s="89"/>
      <c r="E307" s="89"/>
      <c r="F307" s="89"/>
      <c r="G307" s="89"/>
      <c r="H307" s="112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104" t="s">
        <v>5055</v>
      </c>
    </row>
    <row r="308" spans="1:23" ht="26.25" hidden="1" customHeight="1">
      <c r="A308" s="89"/>
      <c r="B308" s="89"/>
      <c r="C308" s="89"/>
      <c r="D308" s="89"/>
      <c r="E308" s="89"/>
      <c r="F308" s="89"/>
      <c r="G308" s="89"/>
      <c r="H308" s="112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104" t="s">
        <v>5076</v>
      </c>
    </row>
    <row r="309" spans="1:23" ht="26.25" hidden="1" customHeight="1">
      <c r="A309" s="89"/>
      <c r="B309" s="89"/>
      <c r="C309" s="89"/>
      <c r="D309" s="89"/>
      <c r="E309" s="89"/>
      <c r="F309" s="89"/>
      <c r="G309" s="89"/>
      <c r="H309" s="112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104" t="s">
        <v>5095</v>
      </c>
    </row>
    <row r="310" spans="1:23" ht="26.25" hidden="1" customHeight="1">
      <c r="A310" s="89"/>
      <c r="B310" s="89"/>
      <c r="C310" s="89"/>
      <c r="D310" s="89"/>
      <c r="E310" s="89"/>
      <c r="F310" s="89"/>
      <c r="G310" s="89"/>
      <c r="H310" s="112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104" t="s">
        <v>5105</v>
      </c>
    </row>
    <row r="311" spans="1:23" ht="26.25" hidden="1" customHeight="1">
      <c r="A311" s="89"/>
      <c r="B311" s="89"/>
      <c r="C311" s="89"/>
      <c r="D311" s="89"/>
      <c r="E311" s="89"/>
      <c r="F311" s="89"/>
      <c r="G311" s="89"/>
      <c r="H311" s="112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104" t="s">
        <v>5113</v>
      </c>
    </row>
    <row r="312" spans="1:23" ht="26.25" hidden="1" customHeight="1">
      <c r="A312" s="89"/>
      <c r="B312" s="89"/>
      <c r="C312" s="89"/>
      <c r="D312" s="89"/>
      <c r="E312" s="89"/>
      <c r="F312" s="89"/>
      <c r="G312" s="89"/>
      <c r="H312" s="112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104" t="s">
        <v>5130</v>
      </c>
    </row>
    <row r="313" spans="1:23" ht="26.25" hidden="1" customHeight="1">
      <c r="A313" s="89"/>
      <c r="B313" s="89"/>
      <c r="C313" s="89"/>
      <c r="D313" s="89"/>
      <c r="E313" s="89"/>
      <c r="F313" s="89"/>
      <c r="G313" s="89"/>
      <c r="H313" s="112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104" t="s">
        <v>5122</v>
      </c>
    </row>
    <row r="314" spans="1:23" ht="26.25" hidden="1" customHeight="1">
      <c r="A314" s="89"/>
      <c r="B314" s="89"/>
      <c r="C314" s="89"/>
      <c r="D314" s="89"/>
      <c r="E314" s="89"/>
      <c r="F314" s="89"/>
      <c r="G314" s="89"/>
      <c r="H314" s="112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106" t="s">
        <v>5145</v>
      </c>
    </row>
    <row r="315" spans="1:23" ht="26.25" hidden="1" customHeight="1">
      <c r="A315" s="89"/>
      <c r="B315" s="89"/>
      <c r="C315" s="89"/>
      <c r="D315" s="89"/>
      <c r="E315" s="89"/>
      <c r="F315" s="89"/>
      <c r="G315" s="89"/>
      <c r="H315" s="112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104" t="s">
        <v>5158</v>
      </c>
    </row>
    <row r="316" spans="1:23" ht="26.25" hidden="1" customHeight="1">
      <c r="A316" s="89"/>
      <c r="B316" s="89"/>
      <c r="C316" s="89"/>
      <c r="D316" s="89"/>
      <c r="E316" s="89"/>
      <c r="F316" s="89"/>
      <c r="G316" s="89"/>
      <c r="H316" s="112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106" t="s">
        <v>5164</v>
      </c>
    </row>
    <row r="317" spans="1:23" ht="26.25" hidden="1" customHeight="1">
      <c r="A317" s="89"/>
      <c r="B317" s="89"/>
      <c r="C317" s="89"/>
      <c r="D317" s="89"/>
      <c r="E317" s="89"/>
      <c r="F317" s="89"/>
      <c r="G317" s="89"/>
      <c r="H317" s="112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104" t="s">
        <v>5181</v>
      </c>
    </row>
    <row r="318" spans="1:23" ht="26.25" hidden="1" customHeight="1">
      <c r="A318" s="89"/>
      <c r="B318" s="89"/>
      <c r="C318" s="89"/>
      <c r="D318" s="89"/>
      <c r="E318" s="89"/>
      <c r="F318" s="89"/>
      <c r="G318" s="89"/>
      <c r="H318" s="112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106" t="s">
        <v>5172</v>
      </c>
    </row>
    <row r="319" spans="1:23" ht="26.25" hidden="1" customHeight="1">
      <c r="A319" s="89"/>
      <c r="B319" s="89"/>
      <c r="C319" s="89"/>
      <c r="D319" s="89"/>
      <c r="E319" s="89"/>
      <c r="F319" s="89"/>
      <c r="G319" s="89"/>
      <c r="H319" s="112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104" t="s">
        <v>5173</v>
      </c>
    </row>
    <row r="320" spans="1:23" ht="26.25" hidden="1" customHeight="1">
      <c r="A320" s="89"/>
      <c r="B320" s="89"/>
      <c r="C320" s="89"/>
      <c r="D320" s="89"/>
      <c r="E320" s="89"/>
      <c r="F320" s="89"/>
      <c r="G320" s="89"/>
      <c r="H320" s="112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104" t="s">
        <v>5174</v>
      </c>
    </row>
    <row r="321" spans="1:23" ht="26.25" hidden="1" customHeight="1">
      <c r="A321" s="89"/>
      <c r="B321" s="89"/>
      <c r="C321" s="89"/>
      <c r="D321" s="89"/>
      <c r="E321" s="89"/>
      <c r="F321" s="89"/>
      <c r="G321" s="89"/>
      <c r="H321" s="112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104" t="s">
        <v>5195</v>
      </c>
    </row>
    <row r="322" spans="1:23" ht="26.25" hidden="1" customHeight="1">
      <c r="A322" s="89"/>
      <c r="B322" s="89"/>
      <c r="C322" s="89"/>
      <c r="D322" s="89"/>
      <c r="E322" s="89"/>
      <c r="F322" s="89"/>
      <c r="G322" s="89"/>
      <c r="H322" s="112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106" t="s">
        <v>5196</v>
      </c>
    </row>
    <row r="323" spans="1:23" ht="26.25" hidden="1" customHeight="1">
      <c r="A323" s="89"/>
      <c r="B323" s="89"/>
      <c r="C323" s="89"/>
      <c r="D323" s="89"/>
      <c r="E323" s="89"/>
      <c r="F323" s="89"/>
      <c r="G323" s="89"/>
      <c r="H323" s="112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104" t="s">
        <v>5215</v>
      </c>
    </row>
    <row r="324" spans="1:23" ht="26.25" hidden="1" customHeight="1">
      <c r="A324" s="89"/>
      <c r="B324" s="89"/>
      <c r="C324" s="89"/>
      <c r="D324" s="89"/>
      <c r="E324" s="89"/>
      <c r="F324" s="89"/>
      <c r="G324" s="89"/>
      <c r="H324" s="112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158" t="s">
        <v>5206</v>
      </c>
    </row>
    <row r="325" spans="1:23" ht="26.25" hidden="1" customHeight="1">
      <c r="A325" s="89"/>
      <c r="B325" s="89"/>
      <c r="C325" s="89"/>
      <c r="D325" s="89"/>
      <c r="E325" s="89"/>
      <c r="F325" s="89"/>
      <c r="G325" s="89"/>
      <c r="H325" s="112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104" t="s">
        <v>5238</v>
      </c>
    </row>
    <row r="326" spans="1:23" s="139" customFormat="1" ht="26.25" hidden="1" customHeight="1">
      <c r="A326" s="136"/>
      <c r="B326" s="136"/>
      <c r="C326" s="136"/>
      <c r="D326" s="136"/>
      <c r="E326" s="136"/>
      <c r="F326" s="136"/>
      <c r="G326" s="136"/>
      <c r="H326" s="137"/>
      <c r="I326" s="136"/>
      <c r="J326" s="136"/>
      <c r="K326" s="136"/>
      <c r="L326" s="136"/>
      <c r="M326" s="136"/>
      <c r="N326" s="136"/>
      <c r="O326" s="136"/>
      <c r="P326" s="136"/>
      <c r="Q326" s="136"/>
      <c r="R326" s="136"/>
      <c r="S326" s="136"/>
      <c r="T326" s="136"/>
      <c r="U326" s="136"/>
      <c r="V326" s="136"/>
      <c r="W326" s="136" t="s">
        <v>5246</v>
      </c>
    </row>
    <row r="327" spans="1:23" ht="26.25" hidden="1" customHeight="1">
      <c r="A327" s="104" t="s">
        <v>5389</v>
      </c>
      <c r="B327" s="104" t="s">
        <v>5365</v>
      </c>
      <c r="C327" s="104" t="s">
        <v>5313</v>
      </c>
      <c r="D327" s="104" t="s">
        <v>5273</v>
      </c>
      <c r="E327" s="104" t="s">
        <v>5244</v>
      </c>
      <c r="F327" s="104" t="s">
        <v>5245</v>
      </c>
      <c r="G327" s="161" t="s">
        <v>5220</v>
      </c>
      <c r="H327" s="104" t="s">
        <v>5343</v>
      </c>
      <c r="I327" s="104" t="s">
        <v>5249</v>
      </c>
      <c r="J327" s="104" t="s">
        <v>5250</v>
      </c>
      <c r="K327" s="104" t="s">
        <v>5344</v>
      </c>
      <c r="L327" s="104" t="s">
        <v>5327</v>
      </c>
      <c r="M327" s="104" t="s">
        <v>5242</v>
      </c>
      <c r="N327" s="104" t="s">
        <v>5319</v>
      </c>
      <c r="O327" s="104" t="s">
        <v>5320</v>
      </c>
      <c r="P327" s="104" t="s">
        <v>5312</v>
      </c>
      <c r="Q327" s="104" t="s">
        <v>5328</v>
      </c>
      <c r="R327" s="104" t="s">
        <v>5338</v>
      </c>
      <c r="S327" s="104" t="s">
        <v>5400</v>
      </c>
      <c r="T327" s="104" t="s">
        <v>5423</v>
      </c>
      <c r="U327" s="104" t="s">
        <v>5376</v>
      </c>
      <c r="V327" s="104" t="s">
        <v>5376</v>
      </c>
      <c r="W327" s="104" t="s">
        <v>5257</v>
      </c>
    </row>
    <row r="328" spans="1:23" ht="26.25" hidden="1" customHeight="1">
      <c r="A328" s="114" t="s">
        <v>5411</v>
      </c>
      <c r="B328" s="109" t="s">
        <v>5419</v>
      </c>
      <c r="C328" s="104" t="s">
        <v>5480</v>
      </c>
      <c r="D328" s="104" t="s">
        <v>5302</v>
      </c>
      <c r="E328" s="104" t="s">
        <v>5294</v>
      </c>
      <c r="F328" s="104" t="s">
        <v>5254</v>
      </c>
      <c r="G328" s="155" t="s">
        <v>5391</v>
      </c>
      <c r="H328" s="158" t="s">
        <v>5456</v>
      </c>
      <c r="I328" s="104" t="s">
        <v>5255</v>
      </c>
      <c r="J328" s="132" t="s">
        <v>5256</v>
      </c>
      <c r="K328" s="158" t="s">
        <v>5443</v>
      </c>
      <c r="L328" s="108" t="s">
        <v>5403</v>
      </c>
      <c r="M328" s="104" t="s">
        <v>5269</v>
      </c>
      <c r="N328" s="104" t="s">
        <v>5334</v>
      </c>
      <c r="O328" s="104" t="s">
        <v>5336</v>
      </c>
      <c r="P328" s="104" t="s">
        <v>5321</v>
      </c>
      <c r="Q328" s="104" t="s">
        <v>5337</v>
      </c>
      <c r="R328" s="104" t="s">
        <v>5394</v>
      </c>
      <c r="S328" s="104" t="s">
        <v>5550</v>
      </c>
      <c r="T328" s="104" t="s">
        <v>5502</v>
      </c>
      <c r="U328" s="104" t="s">
        <v>5549</v>
      </c>
      <c r="V328" s="104" t="s">
        <v>5563</v>
      </c>
      <c r="W328" s="104" t="s">
        <v>5247</v>
      </c>
    </row>
    <row r="329" spans="1:23" ht="26.25" hidden="1" customHeight="1">
      <c r="A329" s="104" t="s">
        <v>5433</v>
      </c>
      <c r="B329" s="106" t="s">
        <v>5434</v>
      </c>
      <c r="C329" s="104" t="s">
        <v>5522</v>
      </c>
      <c r="D329" s="104" t="s">
        <v>5333</v>
      </c>
      <c r="E329" s="158" t="s">
        <v>5303</v>
      </c>
      <c r="F329" s="104" t="s">
        <v>5300</v>
      </c>
      <c r="G329" s="104" t="s">
        <v>5422</v>
      </c>
      <c r="H329" s="109" t="s">
        <v>5697</v>
      </c>
      <c r="I329" s="104" t="s">
        <v>5301</v>
      </c>
      <c r="J329" s="108" t="s">
        <v>5265</v>
      </c>
      <c r="K329" s="109" t="s">
        <v>5458</v>
      </c>
      <c r="L329" s="104" t="s">
        <v>5501</v>
      </c>
      <c r="M329" s="158" t="s">
        <v>5267</v>
      </c>
      <c r="N329" s="108" t="s">
        <v>5335</v>
      </c>
      <c r="O329" s="158" t="s">
        <v>5398</v>
      </c>
      <c r="P329" s="158" t="s">
        <v>5393</v>
      </c>
      <c r="Q329" s="104" t="s">
        <v>5366</v>
      </c>
      <c r="R329" s="104" t="s">
        <v>5501</v>
      </c>
      <c r="S329" s="104" t="s">
        <v>5562</v>
      </c>
      <c r="T329" s="104" t="s">
        <v>5362</v>
      </c>
      <c r="U329" s="104" t="s">
        <v>5362</v>
      </c>
      <c r="V329" s="104" t="s">
        <v>5584</v>
      </c>
      <c r="W329" s="104" t="s">
        <v>5248</v>
      </c>
    </row>
    <row r="330" spans="1:23" ht="26.25" hidden="1" customHeight="1">
      <c r="A330" s="104" t="s">
        <v>5452</v>
      </c>
      <c r="B330" s="107" t="s">
        <v>5453</v>
      </c>
      <c r="C330" s="109" t="s">
        <v>5673</v>
      </c>
      <c r="D330" s="107" t="s">
        <v>5349</v>
      </c>
      <c r="E330" s="158" t="s">
        <v>5350</v>
      </c>
      <c r="F330" s="104" t="s">
        <v>5351</v>
      </c>
      <c r="G330" s="108" t="s">
        <v>5432</v>
      </c>
      <c r="H330" s="104" t="s">
        <v>5739</v>
      </c>
      <c r="I330" s="132" t="s">
        <v>5304</v>
      </c>
      <c r="J330" s="108" t="s">
        <v>5266</v>
      </c>
      <c r="K330" s="108" t="s">
        <v>5499</v>
      </c>
      <c r="L330" s="129" t="s">
        <v>5548</v>
      </c>
      <c r="M330" s="109" t="s">
        <v>5268</v>
      </c>
      <c r="N330" s="104" t="s">
        <v>5352</v>
      </c>
      <c r="O330" s="104" t="s">
        <v>5501</v>
      </c>
      <c r="P330" s="104" t="s">
        <v>5501</v>
      </c>
      <c r="Q330" s="104" t="s">
        <v>5373</v>
      </c>
      <c r="R330" s="104" t="s">
        <v>5561</v>
      </c>
      <c r="S330" s="104" t="s">
        <v>5612</v>
      </c>
      <c r="T330" s="104" t="s">
        <v>5589</v>
      </c>
      <c r="U330" s="104" t="s">
        <v>5575</v>
      </c>
      <c r="V330" s="104" t="s">
        <v>5591</v>
      </c>
      <c r="W330" s="104" t="s">
        <v>5251</v>
      </c>
    </row>
    <row r="331" spans="1:23" ht="26.25" hidden="1" customHeight="1">
      <c r="A331" s="104" t="s">
        <v>5462</v>
      </c>
      <c r="B331" s="104" t="s">
        <v>5465</v>
      </c>
      <c r="C331" s="109" t="s">
        <v>6026</v>
      </c>
      <c r="D331" s="158" t="s">
        <v>5342</v>
      </c>
      <c r="E331" s="104" t="s">
        <v>5325</v>
      </c>
      <c r="F331" s="104" t="s">
        <v>5387</v>
      </c>
      <c r="G331" s="104" t="s">
        <v>5455</v>
      </c>
      <c r="H331" s="177" t="s">
        <v>5270</v>
      </c>
      <c r="I331" s="158" t="s">
        <v>5317</v>
      </c>
      <c r="J331" s="104" t="s">
        <v>5274</v>
      </c>
      <c r="K331" s="108" t="s">
        <v>5527</v>
      </c>
      <c r="L331" s="129" t="s">
        <v>5556</v>
      </c>
      <c r="M331" s="158" t="s">
        <v>5275</v>
      </c>
      <c r="N331" s="104" t="s">
        <v>5392</v>
      </c>
      <c r="O331" s="104" t="s">
        <v>5559</v>
      </c>
      <c r="P331" s="104" t="s">
        <v>5528</v>
      </c>
      <c r="Q331" s="104" t="s">
        <v>5374</v>
      </c>
      <c r="R331" s="104" t="s">
        <v>5611</v>
      </c>
      <c r="S331" s="108" t="s">
        <v>5604</v>
      </c>
      <c r="T331" s="104" t="s">
        <v>5645</v>
      </c>
      <c r="U331" s="104" t="s">
        <v>5590</v>
      </c>
      <c r="V331" s="104" t="s">
        <v>5599</v>
      </c>
      <c r="W331" s="104" t="s">
        <v>5287</v>
      </c>
    </row>
    <row r="332" spans="1:23" ht="26.25" hidden="1" customHeight="1">
      <c r="A332" s="104" t="s">
        <v>5483</v>
      </c>
      <c r="B332" s="104" t="s">
        <v>5484</v>
      </c>
      <c r="C332" s="179" t="s">
        <v>6111</v>
      </c>
      <c r="D332" s="104" t="s">
        <v>5356</v>
      </c>
      <c r="E332" s="158" t="s">
        <v>5357</v>
      </c>
      <c r="F332" s="104" t="s">
        <v>5437</v>
      </c>
      <c r="G332" s="104" t="s">
        <v>5489</v>
      </c>
      <c r="H332" s="104" t="s">
        <v>5752</v>
      </c>
      <c r="I332" s="108" t="s">
        <v>5401</v>
      </c>
      <c r="J332" s="104" t="s">
        <v>5299</v>
      </c>
      <c r="K332" s="108" t="s">
        <v>5517</v>
      </c>
      <c r="L332" s="108" t="s">
        <v>5555</v>
      </c>
      <c r="M332" s="108" t="s">
        <v>5399</v>
      </c>
      <c r="N332" s="104" t="s">
        <v>5501</v>
      </c>
      <c r="O332" s="109" t="s">
        <v>5666</v>
      </c>
      <c r="P332" s="104" t="s">
        <v>5529</v>
      </c>
      <c r="Q332" s="109" t="s">
        <v>5379</v>
      </c>
      <c r="R332" s="104" t="s">
        <v>5603</v>
      </c>
      <c r="S332" s="106" t="s">
        <v>5668</v>
      </c>
      <c r="T332" s="104" t="s">
        <v>5646</v>
      </c>
      <c r="U332" s="104" t="s">
        <v>5586</v>
      </c>
      <c r="V332" s="104" t="s">
        <v>5613</v>
      </c>
      <c r="W332" s="104" t="s">
        <v>5288</v>
      </c>
    </row>
    <row r="333" spans="1:23" ht="26.25" hidden="1" customHeight="1">
      <c r="A333" s="104" t="s">
        <v>5521</v>
      </c>
      <c r="B333" s="104" t="s">
        <v>5496</v>
      </c>
      <c r="C333" s="89"/>
      <c r="D333" s="104" t="s">
        <v>5388</v>
      </c>
      <c r="E333" s="104" t="s">
        <v>5372</v>
      </c>
      <c r="F333" s="158" t="s">
        <v>5477</v>
      </c>
      <c r="G333" s="104" t="s">
        <v>5526</v>
      </c>
      <c r="H333" s="109" t="s">
        <v>5813</v>
      </c>
      <c r="I333" s="108" t="s">
        <v>5444</v>
      </c>
      <c r="J333" s="104" t="s">
        <v>5305</v>
      </c>
      <c r="K333" s="108" t="s">
        <v>5553</v>
      </c>
      <c r="L333" s="108" t="s">
        <v>5554</v>
      </c>
      <c r="M333" s="104" t="s">
        <v>5501</v>
      </c>
      <c r="N333" s="109" t="s">
        <v>5507</v>
      </c>
      <c r="O333" s="104" t="s">
        <v>5743</v>
      </c>
      <c r="P333" s="104" t="s">
        <v>5610</v>
      </c>
      <c r="Q333" s="109" t="s">
        <v>5378</v>
      </c>
      <c r="R333" s="104" t="s">
        <v>5628</v>
      </c>
      <c r="S333" s="104" t="s">
        <v>5682</v>
      </c>
      <c r="T333" s="104" t="s">
        <v>5683</v>
      </c>
      <c r="U333" s="104" t="s">
        <v>5629</v>
      </c>
      <c r="V333" s="104" t="s">
        <v>5630</v>
      </c>
      <c r="W333" s="104" t="s">
        <v>5293</v>
      </c>
    </row>
    <row r="334" spans="1:23" ht="26.25" hidden="1" customHeight="1">
      <c r="A334" s="109" t="s">
        <v>5674</v>
      </c>
      <c r="B334" s="109" t="s">
        <v>5508</v>
      </c>
      <c r="C334" s="89"/>
      <c r="D334" s="109" t="s">
        <v>5410</v>
      </c>
      <c r="E334" s="104" t="s">
        <v>5405</v>
      </c>
      <c r="F334" s="109" t="s">
        <v>5488</v>
      </c>
      <c r="G334" s="109" t="s">
        <v>5542</v>
      </c>
      <c r="H334" s="104" t="s">
        <v>5869</v>
      </c>
      <c r="I334" s="108" t="s">
        <v>5457</v>
      </c>
      <c r="J334" s="104" t="s">
        <v>5318</v>
      </c>
      <c r="K334" s="109" t="s">
        <v>5680</v>
      </c>
      <c r="L334" s="109" t="s">
        <v>5573</v>
      </c>
      <c r="M334" s="108" t="s">
        <v>5506</v>
      </c>
      <c r="N334" s="104" t="s">
        <v>5558</v>
      </c>
      <c r="O334" s="109" t="s">
        <v>5976</v>
      </c>
      <c r="P334" s="106" t="s">
        <v>5583</v>
      </c>
      <c r="Q334" s="104" t="s">
        <v>5501</v>
      </c>
      <c r="R334" s="104" t="s">
        <v>5649</v>
      </c>
      <c r="S334" s="104" t="s">
        <v>5693</v>
      </c>
      <c r="T334" s="104" t="s">
        <v>5726</v>
      </c>
      <c r="U334" s="109" t="s">
        <v>5684</v>
      </c>
      <c r="V334" s="109" t="s">
        <v>5717</v>
      </c>
      <c r="W334" s="104" t="s">
        <v>5339</v>
      </c>
    </row>
    <row r="335" spans="1:23" ht="26.25" hidden="1" customHeight="1">
      <c r="A335" s="109" t="s">
        <v>5738</v>
      </c>
      <c r="B335" s="109" t="s">
        <v>5673</v>
      </c>
      <c r="C335" s="89"/>
      <c r="D335" s="104" t="s">
        <v>5416</v>
      </c>
      <c r="E335" s="107" t="s">
        <v>5412</v>
      </c>
      <c r="F335" s="107" t="s">
        <v>5509</v>
      </c>
      <c r="G335" s="107" t="s">
        <v>5547</v>
      </c>
      <c r="H335" s="109" t="s">
        <v>6001</v>
      </c>
      <c r="I335" s="108" t="s">
        <v>5482</v>
      </c>
      <c r="J335" s="108" t="s">
        <v>5402</v>
      </c>
      <c r="K335" s="132" t="s">
        <v>5788</v>
      </c>
      <c r="L335" s="109" t="s">
        <v>5587</v>
      </c>
      <c r="M335" s="108" t="s">
        <v>5557</v>
      </c>
      <c r="N335" s="104" t="s">
        <v>5572</v>
      </c>
      <c r="O335" s="108" t="s">
        <v>6095</v>
      </c>
      <c r="P335" s="109" t="s">
        <v>5735</v>
      </c>
      <c r="Q335" s="104" t="s">
        <v>5560</v>
      </c>
      <c r="R335" s="108" t="s">
        <v>5653</v>
      </c>
      <c r="S335" s="104" t="s">
        <v>5716</v>
      </c>
      <c r="T335" s="109" t="s">
        <v>5849</v>
      </c>
      <c r="U335" s="104" t="s">
        <v>5693</v>
      </c>
      <c r="V335" s="109" t="s">
        <v>5773</v>
      </c>
      <c r="W335" s="104" t="s">
        <v>5367</v>
      </c>
    </row>
    <row r="336" spans="1:23" ht="26.25" hidden="1" customHeight="1">
      <c r="A336" s="104" t="s">
        <v>5786</v>
      </c>
      <c r="B336" s="109" t="s">
        <v>6011</v>
      </c>
      <c r="C336" s="89"/>
      <c r="D336" s="104" t="s">
        <v>5420</v>
      </c>
      <c r="E336" s="104" t="s">
        <v>5409</v>
      </c>
      <c r="F336" s="104" t="s">
        <v>5525</v>
      </c>
      <c r="G336" s="109" t="s">
        <v>5552</v>
      </c>
      <c r="H336" s="104" t="s">
        <v>6090</v>
      </c>
      <c r="I336" s="109" t="s">
        <v>5671</v>
      </c>
      <c r="J336" s="108" t="s">
        <v>5463</v>
      </c>
      <c r="K336" s="109" t="s">
        <v>5872</v>
      </c>
      <c r="L336" s="109" t="s">
        <v>5626</v>
      </c>
      <c r="M336" s="104" t="s">
        <v>5667</v>
      </c>
      <c r="N336" s="104" t="s">
        <v>5588</v>
      </c>
      <c r="O336" s="153"/>
      <c r="P336" s="109" t="s">
        <v>5829</v>
      </c>
      <c r="Q336" s="109" t="s">
        <v>5692</v>
      </c>
      <c r="R336" s="106" t="s">
        <v>5672</v>
      </c>
      <c r="S336" s="109" t="s">
        <v>5709</v>
      </c>
      <c r="T336" s="104" t="s">
        <v>5693</v>
      </c>
      <c r="U336" s="109" t="s">
        <v>5816</v>
      </c>
      <c r="V336" s="104" t="s">
        <v>5826</v>
      </c>
      <c r="W336" s="104" t="s">
        <v>5413</v>
      </c>
    </row>
    <row r="337" spans="1:23" ht="26.25" hidden="1" customHeight="1">
      <c r="A337" s="109" t="s">
        <v>5810</v>
      </c>
      <c r="B337" s="179" t="s">
        <v>6249</v>
      </c>
      <c r="C337" s="179" t="s">
        <v>6279</v>
      </c>
      <c r="D337" s="104" t="s">
        <v>5418</v>
      </c>
      <c r="E337" s="104" t="s">
        <v>5421</v>
      </c>
      <c r="F337" s="104" t="s">
        <v>5623</v>
      </c>
      <c r="G337" s="104" t="s">
        <v>5596</v>
      </c>
      <c r="H337" s="104" t="s">
        <v>6117</v>
      </c>
      <c r="I337" s="104" t="s">
        <v>5698</v>
      </c>
      <c r="J337" s="108" t="s">
        <v>5485</v>
      </c>
      <c r="K337" s="109" t="s">
        <v>5971</v>
      </c>
      <c r="L337" s="108" t="s">
        <v>5699</v>
      </c>
      <c r="M337" s="104" t="s">
        <v>5713</v>
      </c>
      <c r="N337" s="109" t="s">
        <v>5608</v>
      </c>
      <c r="O337" s="179" t="s">
        <v>6239</v>
      </c>
      <c r="P337" s="114" t="s">
        <v>5877</v>
      </c>
      <c r="Q337" s="109" t="s">
        <v>5830</v>
      </c>
      <c r="R337" s="104" t="s">
        <v>5715</v>
      </c>
      <c r="S337" s="109" t="s">
        <v>5779</v>
      </c>
      <c r="T337" s="104" t="s">
        <v>5858</v>
      </c>
      <c r="U337" s="106" t="s">
        <v>5836</v>
      </c>
      <c r="V337" s="109" t="s">
        <v>5884</v>
      </c>
      <c r="W337" s="104" t="s">
        <v>5459</v>
      </c>
    </row>
    <row r="338" spans="1:23" ht="26.25" hidden="1" customHeight="1">
      <c r="A338" s="104" t="s">
        <v>5880</v>
      </c>
      <c r="B338" s="108"/>
      <c r="C338" s="104" t="s">
        <v>6328</v>
      </c>
      <c r="D338" s="158" t="s">
        <v>5435</v>
      </c>
      <c r="E338" s="104" t="s">
        <v>5436</v>
      </c>
      <c r="F338" s="104" t="s">
        <v>5663</v>
      </c>
      <c r="G338" s="104" t="s">
        <v>5605</v>
      </c>
      <c r="H338" s="109" t="s">
        <v>6146</v>
      </c>
      <c r="I338" s="104" t="s">
        <v>5712</v>
      </c>
      <c r="J338" s="104" t="s">
        <v>5585</v>
      </c>
      <c r="K338" s="109" t="s">
        <v>5975</v>
      </c>
      <c r="L338" s="108" t="s">
        <v>5725</v>
      </c>
      <c r="M338" s="108" t="s">
        <v>5771</v>
      </c>
      <c r="N338" s="159" t="s">
        <v>5609</v>
      </c>
      <c r="O338" s="104" t="s">
        <v>6360</v>
      </c>
      <c r="P338" s="104" t="s">
        <v>5909</v>
      </c>
      <c r="Q338" s="114" t="s">
        <v>5883</v>
      </c>
      <c r="R338" s="104" t="s">
        <v>5757</v>
      </c>
      <c r="S338" s="104" t="s">
        <v>5911</v>
      </c>
      <c r="T338" s="114" t="s">
        <v>5896</v>
      </c>
      <c r="U338" s="109" t="s">
        <v>5930</v>
      </c>
      <c r="V338" s="109" t="s">
        <v>5923</v>
      </c>
      <c r="W338" s="104" t="s">
        <v>5543</v>
      </c>
    </row>
    <row r="339" spans="1:23" ht="26.25" hidden="1" customHeight="1">
      <c r="A339" s="179" t="s">
        <v>6249</v>
      </c>
      <c r="B339" s="89"/>
      <c r="C339" s="104" t="s">
        <v>6371</v>
      </c>
      <c r="D339" s="158" t="s">
        <v>5454</v>
      </c>
      <c r="E339" s="104" t="s">
        <v>5467</v>
      </c>
      <c r="F339" s="104" t="s">
        <v>5710</v>
      </c>
      <c r="G339" s="104" t="s">
        <v>5664</v>
      </c>
      <c r="H339" s="104" t="s">
        <v>6150</v>
      </c>
      <c r="I339" s="109" t="s">
        <v>5708</v>
      </c>
      <c r="J339" s="108" t="s">
        <v>5606</v>
      </c>
      <c r="K339" s="104" t="s">
        <v>5994</v>
      </c>
      <c r="L339" s="159" t="s">
        <v>5741</v>
      </c>
      <c r="M339" s="106" t="s">
        <v>5778</v>
      </c>
      <c r="N339" s="132" t="s">
        <v>5627</v>
      </c>
      <c r="O339" s="109" t="s">
        <v>6647</v>
      </c>
      <c r="P339" s="108" t="s">
        <v>5918</v>
      </c>
      <c r="Q339" s="104" t="s">
        <v>5890</v>
      </c>
      <c r="R339" s="104" t="s">
        <v>5759</v>
      </c>
      <c r="S339" s="104" t="s">
        <v>5948</v>
      </c>
      <c r="T339" s="114" t="s">
        <v>5941</v>
      </c>
      <c r="U339" s="104" t="s">
        <v>6099</v>
      </c>
      <c r="V339" s="109" t="s">
        <v>5931</v>
      </c>
      <c r="W339" s="104" t="s">
        <v>5544</v>
      </c>
    </row>
    <row r="340" spans="1:23" ht="26.25" hidden="1" customHeight="1">
      <c r="A340" s="108"/>
      <c r="B340" s="89"/>
      <c r="C340" s="114" t="s">
        <v>6546</v>
      </c>
      <c r="D340" s="104" t="s">
        <v>5464</v>
      </c>
      <c r="E340" s="104" t="s">
        <v>5478</v>
      </c>
      <c r="F340" s="104" t="s">
        <v>5796</v>
      </c>
      <c r="G340" s="104" t="s">
        <v>5677</v>
      </c>
      <c r="H340" s="104" t="s">
        <v>6180</v>
      </c>
      <c r="I340" s="104" t="s">
        <v>5724</v>
      </c>
      <c r="J340" s="132" t="s">
        <v>5607</v>
      </c>
      <c r="K340" s="104" t="s">
        <v>6004</v>
      </c>
      <c r="L340" s="132" t="s">
        <v>5733</v>
      </c>
      <c r="M340" s="109" t="s">
        <v>5789</v>
      </c>
      <c r="N340" s="108" t="s">
        <v>5647</v>
      </c>
      <c r="O340" s="104" t="s">
        <v>6668</v>
      </c>
      <c r="P340" s="104" t="s">
        <v>5919</v>
      </c>
      <c r="Q340" s="114" t="s">
        <v>5895</v>
      </c>
      <c r="R340" s="104" t="s">
        <v>5791</v>
      </c>
      <c r="S340" s="104" t="s">
        <v>5693</v>
      </c>
      <c r="T340" s="114" t="s">
        <v>5947</v>
      </c>
      <c r="U340" s="104" t="s">
        <v>6119</v>
      </c>
      <c r="V340" s="104" t="s">
        <v>5924</v>
      </c>
      <c r="W340" s="104" t="s">
        <v>5545</v>
      </c>
    </row>
    <row r="341" spans="1:23" ht="26.25" hidden="1" customHeight="1">
      <c r="A341" s="89"/>
      <c r="B341" s="89"/>
      <c r="C341" s="104"/>
      <c r="D341" s="109" t="s">
        <v>5466</v>
      </c>
      <c r="E341" s="158" t="s">
        <v>5487</v>
      </c>
      <c r="F341" s="109" t="s">
        <v>5811</v>
      </c>
      <c r="G341" s="104" t="s">
        <v>5696</v>
      </c>
      <c r="H341" s="104" t="s">
        <v>6214</v>
      </c>
      <c r="I341" s="104" t="s">
        <v>5734</v>
      </c>
      <c r="J341" s="108" t="s">
        <v>5665</v>
      </c>
      <c r="K341" s="104" t="s">
        <v>6013</v>
      </c>
      <c r="L341" s="114" t="s">
        <v>5770</v>
      </c>
      <c r="M341" s="109" t="s">
        <v>5798</v>
      </c>
      <c r="N341" s="104" t="s">
        <v>5670</v>
      </c>
      <c r="O341" s="132"/>
      <c r="P341" s="114" t="s">
        <v>5965</v>
      </c>
      <c r="Q341" s="104" t="s">
        <v>5910</v>
      </c>
      <c r="R341" s="114" t="s">
        <v>5835</v>
      </c>
      <c r="S341" s="104" t="s">
        <v>5978</v>
      </c>
      <c r="T341" s="104" t="s">
        <v>5979</v>
      </c>
      <c r="U341" s="104" t="s">
        <v>6130</v>
      </c>
      <c r="V341" s="104" t="s">
        <v>5925</v>
      </c>
      <c r="W341" s="104" t="s">
        <v>5564</v>
      </c>
    </row>
    <row r="342" spans="1:23" ht="26.25" hidden="1" customHeight="1">
      <c r="A342" s="89"/>
      <c r="B342" s="89"/>
      <c r="C342" s="89"/>
      <c r="D342" s="104" t="s">
        <v>5479</v>
      </c>
      <c r="E342" s="106" t="s">
        <v>5498</v>
      </c>
      <c r="F342" s="104" t="s">
        <v>5855</v>
      </c>
      <c r="G342" s="104" t="s">
        <v>5711</v>
      </c>
      <c r="H342" s="104" t="s">
        <v>6235</v>
      </c>
      <c r="I342" s="104" t="s">
        <v>5740</v>
      </c>
      <c r="J342" s="104" t="s">
        <v>5669</v>
      </c>
      <c r="K342" s="108" t="s">
        <v>6131</v>
      </c>
      <c r="L342" s="132" t="s">
        <v>5797</v>
      </c>
      <c r="M342" s="104" t="s">
        <v>5815</v>
      </c>
      <c r="N342" s="104" t="s">
        <v>5681</v>
      </c>
      <c r="O342" s="89"/>
      <c r="P342" s="109" t="s">
        <v>5977</v>
      </c>
      <c r="Q342" s="109" t="s">
        <v>5929</v>
      </c>
      <c r="R342" s="109" t="s">
        <v>5905</v>
      </c>
      <c r="S342" s="104" t="s">
        <v>6075</v>
      </c>
      <c r="T342" s="114" t="s">
        <v>6016</v>
      </c>
      <c r="U342" s="104" t="s">
        <v>6155</v>
      </c>
      <c r="V342" s="109" t="s">
        <v>6017</v>
      </c>
      <c r="W342" s="104" t="s">
        <v>5592</v>
      </c>
    </row>
    <row r="343" spans="1:23" ht="26.25" hidden="1" customHeight="1">
      <c r="A343" s="112"/>
      <c r="B343" s="89"/>
      <c r="C343" s="89"/>
      <c r="D343" s="109" t="s">
        <v>5486</v>
      </c>
      <c r="E343" s="104" t="s">
        <v>5524</v>
      </c>
      <c r="F343" s="109" t="s">
        <v>5868</v>
      </c>
      <c r="G343" s="109" t="s">
        <v>5769</v>
      </c>
      <c r="H343" s="104" t="s">
        <v>6283</v>
      </c>
      <c r="I343" s="155" t="s">
        <v>5270</v>
      </c>
      <c r="J343" s="104" t="s">
        <v>5679</v>
      </c>
      <c r="K343" s="109" t="s">
        <v>6221</v>
      </c>
      <c r="L343" s="108" t="s">
        <v>5814</v>
      </c>
      <c r="M343" s="114" t="s">
        <v>5834</v>
      </c>
      <c r="N343" s="109" t="s">
        <v>5675</v>
      </c>
      <c r="O343" s="89"/>
      <c r="P343" s="104" t="s">
        <v>6003</v>
      </c>
      <c r="Q343" s="109" t="s">
        <v>5972</v>
      </c>
      <c r="R343" s="108" t="s">
        <v>5920</v>
      </c>
      <c r="S343" s="114" t="s">
        <v>6093</v>
      </c>
      <c r="T343" s="104" t="s">
        <v>6033</v>
      </c>
      <c r="U343" s="109" t="s">
        <v>6168</v>
      </c>
      <c r="V343" s="109" t="s">
        <v>6031</v>
      </c>
      <c r="W343" s="104" t="s">
        <v>5631</v>
      </c>
    </row>
    <row r="344" spans="1:23" ht="26.25" hidden="1" customHeight="1">
      <c r="A344" s="89"/>
      <c r="B344" s="89"/>
      <c r="C344" s="89"/>
      <c r="D344" s="104" t="s">
        <v>5497</v>
      </c>
      <c r="E344" s="104" t="s">
        <v>5597</v>
      </c>
      <c r="F344" s="104" t="s">
        <v>5894</v>
      </c>
      <c r="G344" s="104" t="s">
        <v>5812</v>
      </c>
      <c r="H344" s="107" t="s">
        <v>6310</v>
      </c>
      <c r="I344" s="109" t="s">
        <v>5776</v>
      </c>
      <c r="J344" s="108" t="s">
        <v>5678</v>
      </c>
      <c r="K344" s="108" t="s">
        <v>6237</v>
      </c>
      <c r="L344" s="104" t="s">
        <v>5833</v>
      </c>
      <c r="M344" s="104" t="s">
        <v>5847</v>
      </c>
      <c r="N344" s="132" t="s">
        <v>5700</v>
      </c>
      <c r="O344" s="89"/>
      <c r="P344" s="104" t="s">
        <v>6107</v>
      </c>
      <c r="Q344" s="104" t="s">
        <v>6108</v>
      </c>
      <c r="R344" s="109" t="s">
        <v>6006</v>
      </c>
      <c r="S344" s="107" t="s">
        <v>6100</v>
      </c>
      <c r="T344" s="104" t="s">
        <v>6076</v>
      </c>
      <c r="U344" s="109" t="s">
        <v>6216</v>
      </c>
      <c r="V344" s="108" t="s">
        <v>6077</v>
      </c>
      <c r="W344" s="109" t="s">
        <v>5685</v>
      </c>
    </row>
    <row r="345" spans="1:23" ht="26.25" hidden="1" customHeight="1">
      <c r="A345" s="89"/>
      <c r="B345" s="133"/>
      <c r="C345" s="89"/>
      <c r="D345" s="104" t="s">
        <v>5523</v>
      </c>
      <c r="E345" s="104" t="s">
        <v>5662</v>
      </c>
      <c r="F345" s="109" t="s">
        <v>6000</v>
      </c>
      <c r="G345" s="104" t="s">
        <v>5878</v>
      </c>
      <c r="H345" s="104" t="s">
        <v>6314</v>
      </c>
      <c r="I345" s="104" t="s">
        <v>5831</v>
      </c>
      <c r="J345" s="132" t="s">
        <v>5787</v>
      </c>
      <c r="K345" s="108" t="s">
        <v>6266</v>
      </c>
      <c r="L345" s="109" t="s">
        <v>5971</v>
      </c>
      <c r="M345" s="104" t="s">
        <v>5857</v>
      </c>
      <c r="N345" s="109" t="s">
        <v>5714</v>
      </c>
      <c r="O345" s="116"/>
      <c r="P345" s="179" t="s">
        <v>6239</v>
      </c>
      <c r="Q345" s="104" t="s">
        <v>6125</v>
      </c>
      <c r="R345" s="109" t="s">
        <v>6015</v>
      </c>
      <c r="S345" s="108" t="s">
        <v>6109</v>
      </c>
      <c r="T345" s="104" t="s">
        <v>6098</v>
      </c>
      <c r="U345" s="114" t="s">
        <v>6217</v>
      </c>
      <c r="V345" s="104" t="s">
        <v>6120</v>
      </c>
      <c r="W345" s="104" t="s">
        <v>5722</v>
      </c>
    </row>
    <row r="346" spans="1:23" ht="26.25" hidden="1" customHeight="1">
      <c r="A346" s="89"/>
      <c r="B346" s="89"/>
      <c r="C346" s="89"/>
      <c r="D346" s="104" t="s">
        <v>5546</v>
      </c>
      <c r="E346" s="104" t="s">
        <v>5695</v>
      </c>
      <c r="F346" s="109" t="s">
        <v>6089</v>
      </c>
      <c r="G346" s="104" t="s">
        <v>5914</v>
      </c>
      <c r="H346" s="104" t="s">
        <v>6331</v>
      </c>
      <c r="I346" s="104" t="s">
        <v>5832</v>
      </c>
      <c r="J346" s="109" t="s">
        <v>5871</v>
      </c>
      <c r="K346" s="104" t="s">
        <v>6271</v>
      </c>
      <c r="L346" s="179" t="s">
        <v>5990</v>
      </c>
      <c r="M346" s="179" t="s">
        <v>5863</v>
      </c>
      <c r="N346" s="104" t="s">
        <v>5742</v>
      </c>
      <c r="O346" s="89"/>
      <c r="P346" s="104" t="s">
        <v>6360</v>
      </c>
      <c r="Q346" s="107" t="s">
        <v>6128</v>
      </c>
      <c r="R346" s="104" t="s">
        <v>6030</v>
      </c>
      <c r="S346" s="104" t="s">
        <v>6129</v>
      </c>
      <c r="T346" s="104" t="s">
        <v>6154</v>
      </c>
      <c r="U346" s="109" t="s">
        <v>6241</v>
      </c>
      <c r="V346" s="109" t="s">
        <v>6169</v>
      </c>
      <c r="W346" s="104" t="s">
        <v>5755</v>
      </c>
    </row>
    <row r="347" spans="1:23" ht="26.25" hidden="1" customHeight="1">
      <c r="A347" s="143"/>
      <c r="B347" s="116"/>
      <c r="C347" s="116"/>
      <c r="D347" s="107" t="s">
        <v>5551</v>
      </c>
      <c r="E347" s="104" t="s">
        <v>5768</v>
      </c>
      <c r="F347" s="104" t="s">
        <v>6104</v>
      </c>
      <c r="G347" s="104" t="s">
        <v>5942</v>
      </c>
      <c r="H347" s="107" t="s">
        <v>6375</v>
      </c>
      <c r="I347" s="104" t="s">
        <v>5827</v>
      </c>
      <c r="J347" s="104" t="s">
        <v>5889</v>
      </c>
      <c r="K347" s="108" t="s">
        <v>6285</v>
      </c>
      <c r="L347" s="109" t="s">
        <v>5991</v>
      </c>
      <c r="M347" s="104" t="s">
        <v>5873</v>
      </c>
      <c r="N347" s="132" t="s">
        <v>5758</v>
      </c>
      <c r="O347" s="89"/>
      <c r="P347" s="109" t="s">
        <v>6605</v>
      </c>
      <c r="Q347" s="104" t="s">
        <v>6152</v>
      </c>
      <c r="R347" s="104" t="s">
        <v>6074</v>
      </c>
      <c r="S347" s="109" t="s">
        <v>6196</v>
      </c>
      <c r="T347" s="104" t="s">
        <v>6167</v>
      </c>
      <c r="U347" s="177" t="s">
        <v>6278</v>
      </c>
      <c r="V347" s="104" t="s">
        <v>6183</v>
      </c>
      <c r="W347" s="104" t="s">
        <v>5756</v>
      </c>
    </row>
    <row r="348" spans="1:23" ht="26.25" hidden="1" customHeight="1">
      <c r="A348" s="89"/>
      <c r="B348" s="89"/>
      <c r="C348" s="89"/>
      <c r="D348" s="104" t="s">
        <v>5574</v>
      </c>
      <c r="E348" s="104" t="s">
        <v>5795</v>
      </c>
      <c r="F348" s="104" t="s">
        <v>6166</v>
      </c>
      <c r="G348" s="104" t="s">
        <v>5974</v>
      </c>
      <c r="H348" s="104" t="s">
        <v>6389</v>
      </c>
      <c r="I348" s="104" t="s">
        <v>5846</v>
      </c>
      <c r="J348" s="108" t="s">
        <v>5915</v>
      </c>
      <c r="K348" s="132" t="s">
        <v>6286</v>
      </c>
      <c r="L348" s="104" t="s">
        <v>6014</v>
      </c>
      <c r="M348" s="109" t="s">
        <v>5888</v>
      </c>
      <c r="N348" s="108" t="s">
        <v>5772</v>
      </c>
      <c r="O348" s="89"/>
      <c r="P348" s="108" t="s">
        <v>6648</v>
      </c>
      <c r="Q348" s="104" t="s">
        <v>6187</v>
      </c>
      <c r="R348" s="109" t="s">
        <v>6092</v>
      </c>
      <c r="S348" s="104" t="s">
        <v>6240</v>
      </c>
      <c r="T348" s="109" t="s">
        <v>6197</v>
      </c>
      <c r="U348" s="104" t="s">
        <v>6267</v>
      </c>
      <c r="V348" s="109" t="s">
        <v>6234</v>
      </c>
      <c r="W348" s="104" t="s">
        <v>5774</v>
      </c>
    </row>
    <row r="349" spans="1:23" ht="26.25" hidden="1" customHeight="1">
      <c r="A349" s="89"/>
      <c r="B349" s="89"/>
      <c r="C349" s="89"/>
      <c r="D349" s="104" t="s">
        <v>5625</v>
      </c>
      <c r="E349" s="104" t="s">
        <v>5848</v>
      </c>
      <c r="F349" s="104" t="s">
        <v>6179</v>
      </c>
      <c r="G349" s="104" t="s">
        <v>6027</v>
      </c>
      <c r="H349" s="104" t="s">
        <v>6448</v>
      </c>
      <c r="I349" s="109" t="s">
        <v>5856</v>
      </c>
      <c r="J349" s="132" t="s">
        <v>5944</v>
      </c>
      <c r="K349" s="108" t="s">
        <v>6317</v>
      </c>
      <c r="L349" s="132" t="s">
        <v>6094</v>
      </c>
      <c r="M349" s="104" t="s">
        <v>6007</v>
      </c>
      <c r="N349" s="104" t="s">
        <v>5790</v>
      </c>
      <c r="O349" s="116"/>
      <c r="P349" s="104" t="s">
        <v>6653</v>
      </c>
      <c r="Q349" s="109" t="s">
        <v>6188</v>
      </c>
      <c r="R349" s="109" t="s">
        <v>6153</v>
      </c>
      <c r="S349" s="104" t="s">
        <v>6429</v>
      </c>
      <c r="T349" s="104" t="s">
        <v>6215</v>
      </c>
      <c r="U349" s="104" t="s">
        <v>6288</v>
      </c>
      <c r="V349" s="152" t="s">
        <v>6265</v>
      </c>
      <c r="W349" s="104" t="s">
        <v>5792</v>
      </c>
    </row>
    <row r="350" spans="1:23" ht="26.25" hidden="1" customHeight="1">
      <c r="A350" s="89"/>
      <c r="B350" s="116"/>
      <c r="C350" s="116"/>
      <c r="D350" s="104" t="s">
        <v>5648</v>
      </c>
      <c r="E350" s="104" t="s">
        <v>5867</v>
      </c>
      <c r="F350" s="107" t="s">
        <v>6212</v>
      </c>
      <c r="G350" s="104" t="s">
        <v>6071</v>
      </c>
      <c r="H350" s="109" t="s">
        <v>6492</v>
      </c>
      <c r="I350" s="114" t="s">
        <v>5870</v>
      </c>
      <c r="J350" s="104" t="s">
        <v>5955</v>
      </c>
      <c r="K350" s="108" t="s">
        <v>6333</v>
      </c>
      <c r="L350" s="108" t="s">
        <v>6106</v>
      </c>
      <c r="M350" s="104" t="s">
        <v>6029</v>
      </c>
      <c r="N350" s="109" t="s">
        <v>5945</v>
      </c>
      <c r="O350" s="89"/>
      <c r="P350" s="104" t="s">
        <v>6707</v>
      </c>
      <c r="Q350" s="104" t="s">
        <v>6189</v>
      </c>
      <c r="R350" s="104" t="s">
        <v>6182</v>
      </c>
      <c r="S350" s="104" t="s">
        <v>6433</v>
      </c>
      <c r="T350" s="114" t="s">
        <v>6224</v>
      </c>
      <c r="U350" s="104" t="s">
        <v>6321</v>
      </c>
      <c r="V350" s="108" t="s">
        <v>6410</v>
      </c>
      <c r="W350" s="108" t="s">
        <v>5817</v>
      </c>
    </row>
    <row r="351" spans="1:23" ht="26.25" hidden="1" customHeight="1">
      <c r="A351" s="133" t="s">
        <v>6246</v>
      </c>
      <c r="B351" s="89"/>
      <c r="C351" s="89"/>
      <c r="D351" s="109" t="s">
        <v>5660</v>
      </c>
      <c r="E351" s="107" t="s">
        <v>5881</v>
      </c>
      <c r="F351" s="109" t="s">
        <v>6282</v>
      </c>
      <c r="G351" s="104" t="s">
        <v>6105</v>
      </c>
      <c r="H351" s="106" t="s">
        <v>6678</v>
      </c>
      <c r="I351" s="104" t="s">
        <v>5882</v>
      </c>
      <c r="J351" s="106" t="s">
        <v>5963</v>
      </c>
      <c r="K351" s="104" t="s">
        <v>6350</v>
      </c>
      <c r="L351" s="132" t="s">
        <v>6118</v>
      </c>
      <c r="M351" s="109" t="s">
        <v>6065</v>
      </c>
      <c r="N351" s="109" t="s">
        <v>5964</v>
      </c>
      <c r="O351" s="143"/>
      <c r="P351" s="209"/>
      <c r="Q351" s="108" t="s">
        <v>6194</v>
      </c>
      <c r="R351" s="109" t="s">
        <v>6174</v>
      </c>
      <c r="S351" s="104" t="s">
        <v>6450</v>
      </c>
      <c r="T351" s="109" t="s">
        <v>6233</v>
      </c>
      <c r="U351" s="104" t="s">
        <v>6474</v>
      </c>
      <c r="V351" s="108" t="s">
        <v>6411</v>
      </c>
      <c r="W351" s="104" t="s">
        <v>5806</v>
      </c>
    </row>
    <row r="352" spans="1:23" ht="26.25" hidden="1" customHeight="1">
      <c r="A352" s="89"/>
      <c r="B352" s="89"/>
      <c r="C352" s="89"/>
      <c r="D352" s="104" t="s">
        <v>5661</v>
      </c>
      <c r="E352" s="104" t="s">
        <v>5908</v>
      </c>
      <c r="F352" s="104" t="s">
        <v>6308</v>
      </c>
      <c r="G352" s="104" t="s">
        <v>6149</v>
      </c>
      <c r="H352" s="109"/>
      <c r="I352" s="108" t="s">
        <v>5928</v>
      </c>
      <c r="J352" s="104" t="s">
        <v>5993</v>
      </c>
      <c r="K352" s="104" t="s">
        <v>6344</v>
      </c>
      <c r="L352" s="114" t="s">
        <v>6132</v>
      </c>
      <c r="M352" s="104" t="s">
        <v>6073</v>
      </c>
      <c r="N352" s="104" t="s">
        <v>5960</v>
      </c>
      <c r="O352" s="89"/>
      <c r="P352" s="211"/>
      <c r="Q352" s="114" t="s">
        <v>6222</v>
      </c>
      <c r="R352" s="114" t="s">
        <v>6195</v>
      </c>
      <c r="S352" s="104" t="s">
        <v>6491</v>
      </c>
      <c r="T352" s="104" t="s">
        <v>6351</v>
      </c>
      <c r="U352" s="104" t="s">
        <v>6434</v>
      </c>
      <c r="V352" s="108" t="s">
        <v>6412</v>
      </c>
      <c r="W352" s="104" t="s">
        <v>5837</v>
      </c>
    </row>
    <row r="353" spans="1:25" ht="26.25" hidden="1" customHeight="1">
      <c r="A353" s="133"/>
      <c r="B353" s="89"/>
      <c r="C353" s="89"/>
      <c r="D353" s="104" t="s">
        <v>5676</v>
      </c>
      <c r="E353" s="109" t="s">
        <v>5999</v>
      </c>
      <c r="F353" s="104" t="s">
        <v>6330</v>
      </c>
      <c r="G353" s="104" t="s">
        <v>6213</v>
      </c>
      <c r="H353" s="143"/>
      <c r="I353" s="108" t="s">
        <v>5943</v>
      </c>
      <c r="J353" s="104" t="s">
        <v>6023</v>
      </c>
      <c r="K353" s="104" t="s">
        <v>6363</v>
      </c>
      <c r="L353" s="109" t="s">
        <v>6221</v>
      </c>
      <c r="M353" s="179" t="s">
        <v>6175</v>
      </c>
      <c r="N353" s="179" t="s">
        <v>6238</v>
      </c>
      <c r="O353" s="89"/>
      <c r="P353" s="89"/>
      <c r="Q353" s="104" t="s">
        <v>6274</v>
      </c>
      <c r="R353" s="104" t="s">
        <v>6223</v>
      </c>
      <c r="S353" s="114" t="s">
        <v>6502</v>
      </c>
      <c r="T353" s="104" t="s">
        <v>6473</v>
      </c>
      <c r="U353" s="104" t="s">
        <v>6529</v>
      </c>
      <c r="V353" s="108" t="s">
        <v>6413</v>
      </c>
      <c r="W353" s="109" t="s">
        <v>5932</v>
      </c>
    </row>
    <row r="354" spans="1:25" ht="26.25" hidden="1" customHeight="1">
      <c r="A354" s="89"/>
      <c r="B354" s="89"/>
      <c r="C354" s="89"/>
      <c r="D354" s="109" t="s">
        <v>5694</v>
      </c>
      <c r="E354" s="104" t="s">
        <v>6088</v>
      </c>
      <c r="F354" s="104" t="s">
        <v>6337</v>
      </c>
      <c r="G354" s="104" t="s">
        <v>6251</v>
      </c>
      <c r="H354" s="89"/>
      <c r="I354" s="104" t="s">
        <v>5949</v>
      </c>
      <c r="J354" s="104" t="s">
        <v>6028</v>
      </c>
      <c r="K354" s="109" t="s">
        <v>6376</v>
      </c>
      <c r="L354" s="104" t="s">
        <v>6311</v>
      </c>
      <c r="M354" s="104" t="s">
        <v>6391</v>
      </c>
      <c r="N354" s="104" t="s">
        <v>6391</v>
      </c>
      <c r="O354" s="89"/>
      <c r="P354" s="89"/>
      <c r="Q354" s="132" t="s">
        <v>6264</v>
      </c>
      <c r="R354" s="104" t="s">
        <v>6428</v>
      </c>
      <c r="S354" s="106" t="s">
        <v>6520</v>
      </c>
      <c r="T354" s="104" t="s">
        <v>6481</v>
      </c>
      <c r="U354" s="109" t="s">
        <v>6644</v>
      </c>
      <c r="V354" s="104" t="s">
        <v>6336</v>
      </c>
      <c r="W354" s="104" t="s">
        <v>5946</v>
      </c>
    </row>
    <row r="355" spans="1:25" ht="26.25" hidden="1" customHeight="1">
      <c r="A355" s="116"/>
      <c r="B355" s="89"/>
      <c r="C355" s="89"/>
      <c r="D355" s="158" t="s">
        <v>5723</v>
      </c>
      <c r="E355" s="104" t="s">
        <v>6122</v>
      </c>
      <c r="F355" s="109" t="s">
        <v>6347</v>
      </c>
      <c r="G355" s="104" t="s">
        <v>6262</v>
      </c>
      <c r="H355" s="112"/>
      <c r="I355" s="104" t="s">
        <v>6012</v>
      </c>
      <c r="J355" s="104" t="s">
        <v>6079</v>
      </c>
      <c r="K355" s="104" t="s">
        <v>6390</v>
      </c>
      <c r="L355" s="104" t="s">
        <v>6334</v>
      </c>
      <c r="M355" s="108" t="s">
        <v>6426</v>
      </c>
      <c r="N355" s="104" t="s">
        <v>6402</v>
      </c>
      <c r="O355" s="116"/>
      <c r="P355" s="89"/>
      <c r="Q355" s="104" t="s">
        <v>6287</v>
      </c>
      <c r="R355" s="109" t="s">
        <v>6605</v>
      </c>
      <c r="S355" s="104" t="s">
        <v>6567</v>
      </c>
      <c r="T355" s="108" t="s">
        <v>6503</v>
      </c>
      <c r="U355" s="201"/>
      <c r="V355" s="104" t="s">
        <v>6369</v>
      </c>
      <c r="W355" s="104" t="s">
        <v>5966</v>
      </c>
    </row>
    <row r="356" spans="1:25" ht="26.25" hidden="1" customHeight="1">
      <c r="A356" s="90"/>
      <c r="B356" s="116"/>
      <c r="C356" s="116"/>
      <c r="D356" s="109" t="s">
        <v>5767</v>
      </c>
      <c r="E356" s="108" t="s">
        <v>6165</v>
      </c>
      <c r="F356" s="104" t="s">
        <v>6374</v>
      </c>
      <c r="G356" s="104" t="s">
        <v>6272</v>
      </c>
      <c r="H356" s="112"/>
      <c r="I356" s="104" t="s">
        <v>6072</v>
      </c>
      <c r="J356" s="108" t="s">
        <v>6112</v>
      </c>
      <c r="K356" s="104" t="s">
        <v>6385</v>
      </c>
      <c r="L356" s="159" t="s">
        <v>6406</v>
      </c>
      <c r="M356" s="132" t="s">
        <v>6449</v>
      </c>
      <c r="N356" s="109" t="s">
        <v>6604</v>
      </c>
      <c r="O356" s="89"/>
      <c r="P356" s="89"/>
      <c r="Q356" s="106" t="s">
        <v>6295</v>
      </c>
      <c r="R356" s="151" t="s">
        <v>6634</v>
      </c>
      <c r="S356" s="104" t="s">
        <v>6611</v>
      </c>
      <c r="T356" s="109" t="s">
        <v>6643</v>
      </c>
      <c r="U356" s="201"/>
      <c r="V356" s="104" t="s">
        <v>6378</v>
      </c>
      <c r="W356" s="104" t="s">
        <v>5980</v>
      </c>
    </row>
    <row r="357" spans="1:25" ht="26.25" hidden="1" customHeight="1">
      <c r="A357" s="133"/>
      <c r="B357" s="89"/>
      <c r="C357" s="89"/>
      <c r="D357" s="109" t="s">
        <v>5775</v>
      </c>
      <c r="E357" s="108" t="s">
        <v>6281</v>
      </c>
      <c r="F357" s="104" t="s">
        <v>6446</v>
      </c>
      <c r="G357" s="104" t="s">
        <v>6299</v>
      </c>
      <c r="H357" s="116"/>
      <c r="I357" s="132" t="s">
        <v>6085</v>
      </c>
      <c r="J357" s="108" t="s">
        <v>6147</v>
      </c>
      <c r="K357" s="108" t="s">
        <v>6424</v>
      </c>
      <c r="L357" s="159" t="s">
        <v>6407</v>
      </c>
      <c r="M357" s="104" t="s">
        <v>6465</v>
      </c>
      <c r="N357" s="104" t="s">
        <v>6667</v>
      </c>
      <c r="O357" s="89"/>
      <c r="P357" s="89"/>
      <c r="Q357" s="108" t="s">
        <v>6312</v>
      </c>
      <c r="R357" s="151" t="s">
        <v>6633</v>
      </c>
      <c r="S357" s="109" t="s">
        <v>6599</v>
      </c>
      <c r="T357" s="109"/>
      <c r="U357" s="89"/>
      <c r="V357" s="104" t="s">
        <v>6392</v>
      </c>
      <c r="W357" s="104" t="s">
        <v>6002</v>
      </c>
    </row>
    <row r="358" spans="1:25" ht="26.25" hidden="1" customHeight="1">
      <c r="A358" s="89"/>
      <c r="B358" s="89"/>
      <c r="C358" s="89"/>
      <c r="D358" s="104" t="s">
        <v>5794</v>
      </c>
      <c r="E358" s="104" t="s">
        <v>6297</v>
      </c>
      <c r="F358" s="109" t="s">
        <v>6454</v>
      </c>
      <c r="G358" s="104" t="s">
        <v>6309</v>
      </c>
      <c r="H358" s="89"/>
      <c r="I358" s="108" t="s">
        <v>6091</v>
      </c>
      <c r="J358" s="108" t="s">
        <v>6151</v>
      </c>
      <c r="K358" s="108" t="s">
        <v>6455</v>
      </c>
      <c r="L358" s="159" t="s">
        <v>6408</v>
      </c>
      <c r="M358" s="109" t="s">
        <v>6480</v>
      </c>
      <c r="N358" s="104" t="s">
        <v>6677</v>
      </c>
      <c r="O358" s="200"/>
      <c r="P358" s="89"/>
      <c r="Q358" s="104" t="s">
        <v>6316</v>
      </c>
      <c r="R358" s="151" t="s">
        <v>6632</v>
      </c>
      <c r="S358" s="109" t="s">
        <v>6600</v>
      </c>
      <c r="T358" s="143"/>
      <c r="U358" s="143"/>
      <c r="V358" s="104" t="s">
        <v>6430</v>
      </c>
      <c r="W358" s="104" t="s">
        <v>6024</v>
      </c>
    </row>
    <row r="359" spans="1:25" ht="26.25" hidden="1" customHeight="1">
      <c r="A359" s="89"/>
      <c r="B359" s="89"/>
      <c r="C359" s="89"/>
      <c r="D359" s="104" t="s">
        <v>5854</v>
      </c>
      <c r="E359" s="109" t="s">
        <v>6346</v>
      </c>
      <c r="F359" s="109"/>
      <c r="G359" s="104" t="s">
        <v>6313</v>
      </c>
      <c r="H359" s="116"/>
      <c r="I359" s="108" t="s">
        <v>6112</v>
      </c>
      <c r="J359" s="132" t="s">
        <v>6163</v>
      </c>
      <c r="K359" s="104" t="s">
        <v>6463</v>
      </c>
      <c r="L359" s="159" t="s">
        <v>6409</v>
      </c>
      <c r="M359" s="108" t="s">
        <v>6519</v>
      </c>
      <c r="N359" s="104" t="s">
        <v>6685</v>
      </c>
      <c r="O359" s="89"/>
      <c r="P359" s="89"/>
      <c r="Q359" s="114" t="s">
        <v>6335</v>
      </c>
      <c r="R359" s="151" t="s">
        <v>6631</v>
      </c>
      <c r="S359" s="106" t="s">
        <v>6635</v>
      </c>
      <c r="T359" s="89"/>
      <c r="U359" s="89"/>
      <c r="V359" s="104" t="s">
        <v>6451</v>
      </c>
      <c r="W359" s="104" t="s">
        <v>6032</v>
      </c>
    </row>
    <row r="360" spans="1:25" ht="26.25" hidden="1" customHeight="1">
      <c r="A360" s="89"/>
      <c r="B360" s="89"/>
      <c r="C360" s="89"/>
      <c r="D360" s="109" t="s">
        <v>5907</v>
      </c>
      <c r="E360" s="104" t="s">
        <v>6373</v>
      </c>
      <c r="F360" s="89"/>
      <c r="G360" s="107" t="s">
        <v>6348</v>
      </c>
      <c r="H360" s="112"/>
      <c r="I360" s="179" t="s">
        <v>6359</v>
      </c>
      <c r="J360" s="132" t="s">
        <v>6181</v>
      </c>
      <c r="K360" s="104" t="s">
        <v>6479</v>
      </c>
      <c r="L360" s="104" t="s">
        <v>6425</v>
      </c>
      <c r="M360" s="104" t="s">
        <v>6538</v>
      </c>
      <c r="N360" s="104" t="s">
        <v>6701</v>
      </c>
      <c r="O360" s="103"/>
      <c r="P360" s="89"/>
      <c r="Q360" s="104" t="s">
        <v>6339</v>
      </c>
      <c r="R360" s="104" t="s">
        <v>6671</v>
      </c>
      <c r="S360" s="109" t="s">
        <v>6654</v>
      </c>
      <c r="T360" s="89"/>
      <c r="U360" s="143"/>
      <c r="V360" s="104" t="s">
        <v>6466</v>
      </c>
      <c r="W360" s="104" t="s">
        <v>6078</v>
      </c>
    </row>
    <row r="361" spans="1:25" ht="26.25" hidden="1" customHeight="1">
      <c r="A361" s="89"/>
      <c r="B361" s="89"/>
      <c r="C361" s="89"/>
      <c r="D361" s="179" t="s">
        <v>6250</v>
      </c>
      <c r="E361" s="104" t="s">
        <v>6388</v>
      </c>
      <c r="F361" s="89"/>
      <c r="G361" s="109" t="s">
        <v>6345</v>
      </c>
      <c r="H361" s="89"/>
      <c r="I361" s="132" t="s">
        <v>6462</v>
      </c>
      <c r="J361" s="108" t="s">
        <v>6193</v>
      </c>
      <c r="K361" s="104" t="s">
        <v>6501</v>
      </c>
      <c r="L361" s="108" t="s">
        <v>6464</v>
      </c>
      <c r="M361" s="106" t="s">
        <v>6553</v>
      </c>
      <c r="N361" s="108"/>
      <c r="O361" s="89"/>
      <c r="P361" s="116"/>
      <c r="Q361" s="104" t="s">
        <v>6364</v>
      </c>
      <c r="R361" s="109"/>
      <c r="S361" s="104" t="s">
        <v>6661</v>
      </c>
      <c r="T361" s="116"/>
      <c r="U361" s="89"/>
      <c r="V361" s="104" t="s">
        <v>6482</v>
      </c>
      <c r="W361" s="104" t="s">
        <v>6110</v>
      </c>
    </row>
    <row r="362" spans="1:25" ht="26.25" hidden="1" customHeight="1">
      <c r="A362" s="89"/>
      <c r="B362" s="89"/>
      <c r="C362" s="89"/>
      <c r="D362" s="104" t="s">
        <v>6280</v>
      </c>
      <c r="E362" s="104" t="s">
        <v>6403</v>
      </c>
      <c r="F362" s="89"/>
      <c r="G362" s="104" t="s">
        <v>6362</v>
      </c>
      <c r="H362" s="89"/>
      <c r="I362" s="104" t="s">
        <v>6478</v>
      </c>
      <c r="J362" s="101" t="s">
        <v>6219</v>
      </c>
      <c r="K362" s="109" t="s">
        <v>6512</v>
      </c>
      <c r="L362" s="132" t="s">
        <v>6528</v>
      </c>
      <c r="M362" s="108" t="s">
        <v>6566</v>
      </c>
      <c r="N362" s="211"/>
      <c r="O362" s="89"/>
      <c r="P362" s="116"/>
      <c r="Q362" s="104" t="s">
        <v>6370</v>
      </c>
      <c r="R362" s="143"/>
      <c r="S362" s="109" t="s">
        <v>6670</v>
      </c>
      <c r="T362" s="89"/>
      <c r="U362" s="89"/>
      <c r="V362" s="104" t="s">
        <v>6513</v>
      </c>
      <c r="W362" s="104" t="s">
        <v>6121</v>
      </c>
    </row>
    <row r="363" spans="1:25" ht="26.25" hidden="1" customHeight="1">
      <c r="A363" s="89"/>
      <c r="B363" s="89"/>
      <c r="C363" s="89"/>
      <c r="D363" s="104" t="s">
        <v>6296</v>
      </c>
      <c r="E363" s="104" t="s">
        <v>6404</v>
      </c>
      <c r="F363" s="28"/>
      <c r="G363" s="109" t="s">
        <v>6421</v>
      </c>
      <c r="H363" s="89"/>
      <c r="I363" s="129" t="s">
        <v>6499</v>
      </c>
      <c r="J363" s="101" t="s">
        <v>6236</v>
      </c>
      <c r="K363" s="106" t="s">
        <v>6515</v>
      </c>
      <c r="L363" s="108" t="s">
        <v>6565</v>
      </c>
      <c r="M363" s="109" t="s">
        <v>6595</v>
      </c>
      <c r="N363" s="211"/>
      <c r="O363" s="163"/>
      <c r="P363" s="116"/>
      <c r="Q363" s="104" t="s">
        <v>6377</v>
      </c>
      <c r="R363" s="143"/>
      <c r="S363" s="104" t="s">
        <v>6686</v>
      </c>
      <c r="T363" s="89"/>
      <c r="U363" s="89"/>
      <c r="V363" s="132" t="s">
        <v>6496</v>
      </c>
      <c r="W363" s="104" t="s">
        <v>6123</v>
      </c>
      <c r="X363" s="102">
        <v>2</v>
      </c>
      <c r="Y363" s="102" t="s">
        <v>6133</v>
      </c>
    </row>
    <row r="364" spans="1:25" ht="26.25" hidden="1" customHeight="1">
      <c r="A364" s="89"/>
      <c r="B364" s="89"/>
      <c r="C364" s="89"/>
      <c r="D364" s="132" t="s">
        <v>6307</v>
      </c>
      <c r="E364" s="104" t="s">
        <v>6405</v>
      </c>
      <c r="F364" s="169"/>
      <c r="G364" s="104" t="s">
        <v>6420</v>
      </c>
      <c r="H364" s="89"/>
      <c r="I364" s="109"/>
      <c r="J364" s="101" t="s">
        <v>6220</v>
      </c>
      <c r="K364" s="104" t="s">
        <v>6516</v>
      </c>
      <c r="L364" s="109" t="s">
        <v>6609</v>
      </c>
      <c r="M364" s="104" t="s">
        <v>6602</v>
      </c>
      <c r="N364" s="176"/>
      <c r="O364" s="116"/>
      <c r="P364" s="116"/>
      <c r="Q364" s="104" t="s">
        <v>6386</v>
      </c>
      <c r="R364" s="89"/>
      <c r="S364" s="104" t="s">
        <v>6682</v>
      </c>
      <c r="T364" s="89"/>
      <c r="U364" s="116"/>
      <c r="V364" s="132" t="s">
        <v>6497</v>
      </c>
      <c r="W364" s="104" t="s">
        <v>6145</v>
      </c>
      <c r="X364" s="102">
        <v>1</v>
      </c>
    </row>
    <row r="365" spans="1:25" ht="26.25" hidden="1" customHeight="1">
      <c r="A365" s="89"/>
      <c r="B365" s="89"/>
      <c r="C365" s="89"/>
      <c r="D365" s="109" t="s">
        <v>6315</v>
      </c>
      <c r="E365" s="104" t="s">
        <v>6422</v>
      </c>
      <c r="F365" s="90"/>
      <c r="G365" s="104" t="s">
        <v>6423</v>
      </c>
      <c r="H365" s="112"/>
      <c r="I365" s="144"/>
      <c r="J365" s="101" t="s">
        <v>6252</v>
      </c>
      <c r="K365" s="104" t="s">
        <v>6517</v>
      </c>
      <c r="L365" s="109" t="s">
        <v>6666</v>
      </c>
      <c r="M365" s="109" t="s">
        <v>6603</v>
      </c>
      <c r="N365" s="176"/>
      <c r="O365" s="89"/>
      <c r="P365" s="116"/>
      <c r="Q365" s="104" t="s">
        <v>6427</v>
      </c>
      <c r="R365" s="198"/>
      <c r="S365" s="104"/>
      <c r="T365" s="200"/>
      <c r="U365" s="116"/>
      <c r="V365" s="132" t="s">
        <v>6498</v>
      </c>
      <c r="W365" s="104" t="s">
        <v>6124</v>
      </c>
    </row>
    <row r="366" spans="1:25" ht="26.25" hidden="1" customHeight="1">
      <c r="A366" s="89"/>
      <c r="B366" s="89"/>
      <c r="C366" s="89"/>
      <c r="D366" s="104" t="s">
        <v>6329</v>
      </c>
      <c r="E366" s="104" t="s">
        <v>6545</v>
      </c>
      <c r="F366" s="89"/>
      <c r="G366" s="104" t="s">
        <v>6447</v>
      </c>
      <c r="H366" s="143"/>
      <c r="I366" s="89"/>
      <c r="J366" s="104" t="s">
        <v>6273</v>
      </c>
      <c r="K366" s="109" t="s">
        <v>6518</v>
      </c>
      <c r="L366" s="132" t="s">
        <v>6683</v>
      </c>
      <c r="M366" s="108" t="s">
        <v>6610</v>
      </c>
      <c r="N366" s="176"/>
      <c r="O366" s="89"/>
      <c r="P366" s="116"/>
      <c r="Q366" s="109" t="s">
        <v>6605</v>
      </c>
      <c r="R366" s="198"/>
      <c r="S366" s="143"/>
      <c r="T366" s="200"/>
      <c r="U366" s="116"/>
      <c r="V366" s="132" t="s">
        <v>6514</v>
      </c>
      <c r="W366" s="104" t="s">
        <v>6156</v>
      </c>
    </row>
    <row r="367" spans="1:25" ht="26.25" hidden="1" customHeight="1">
      <c r="A367" s="89"/>
      <c r="B367" s="89"/>
      <c r="C367" s="89"/>
      <c r="D367" s="104" t="s">
        <v>6338</v>
      </c>
      <c r="E367" s="114" t="s">
        <v>6601</v>
      </c>
      <c r="F367" s="89"/>
      <c r="G367" s="109" t="s">
        <v>6493</v>
      </c>
      <c r="H367" s="112"/>
      <c r="I367" s="89"/>
      <c r="J367" s="104" t="s">
        <v>6284</v>
      </c>
      <c r="K367" s="109" t="s">
        <v>6524</v>
      </c>
      <c r="L367" s="155" t="s">
        <v>6693</v>
      </c>
      <c r="M367" s="104" t="s">
        <v>6629</v>
      </c>
      <c r="N367" s="176"/>
      <c r="O367" s="89"/>
      <c r="P367" s="116"/>
      <c r="Q367" s="104" t="s">
        <v>6669</v>
      </c>
      <c r="R367" s="198"/>
      <c r="S367" s="143"/>
      <c r="T367" s="200"/>
      <c r="U367" s="116"/>
      <c r="V367" s="104" t="s">
        <v>6521</v>
      </c>
      <c r="W367" s="109" t="s">
        <v>6184</v>
      </c>
    </row>
    <row r="368" spans="1:25" ht="26.25" hidden="1" customHeight="1">
      <c r="A368" s="89"/>
      <c r="B368" s="89"/>
      <c r="C368" s="89"/>
      <c r="D368" s="104" t="s">
        <v>6361</v>
      </c>
      <c r="E368" s="104" t="s">
        <v>6606</v>
      </c>
      <c r="F368" s="89"/>
      <c r="G368" s="106" t="s">
        <v>6563</v>
      </c>
      <c r="H368" s="89"/>
      <c r="I368" s="90"/>
      <c r="J368" s="108" t="s">
        <v>6332</v>
      </c>
      <c r="K368" s="104" t="s">
        <v>6525</v>
      </c>
      <c r="L368" s="108"/>
      <c r="M368" s="104" t="s">
        <v>6630</v>
      </c>
      <c r="N368" s="176"/>
      <c r="O368" s="89"/>
      <c r="P368" s="116"/>
      <c r="Q368" s="104" t="s">
        <v>6694</v>
      </c>
      <c r="R368" s="203"/>
      <c r="S368" s="203"/>
      <c r="T368" s="200"/>
      <c r="U368" s="116"/>
      <c r="V368" s="104" t="s">
        <v>6540</v>
      </c>
      <c r="W368" s="104" t="s">
        <v>6200</v>
      </c>
    </row>
    <row r="369" spans="1:23" ht="26.25" hidden="1" customHeight="1">
      <c r="A369" s="89"/>
      <c r="B369" s="89"/>
      <c r="C369" s="89"/>
      <c r="D369" s="114" t="s">
        <v>6372</v>
      </c>
      <c r="E369" s="104" t="s">
        <v>6622</v>
      </c>
      <c r="F369" s="89"/>
      <c r="G369" s="106" t="s">
        <v>6593</v>
      </c>
      <c r="H369" s="112"/>
      <c r="I369" s="133"/>
      <c r="J369" s="104" t="s">
        <v>6349</v>
      </c>
      <c r="K369" s="104" t="s">
        <v>6526</v>
      </c>
      <c r="L369" s="204"/>
      <c r="M369" s="108" t="s">
        <v>6628</v>
      </c>
      <c r="N369" s="176"/>
      <c r="O369" s="89"/>
      <c r="P369" s="89"/>
      <c r="Q369" s="109"/>
      <c r="R369" s="203"/>
      <c r="S369" s="203"/>
      <c r="T369" s="200"/>
      <c r="U369" s="116"/>
      <c r="V369" s="104" t="s">
        <v>6541</v>
      </c>
      <c r="W369" s="104" t="s">
        <v>6365</v>
      </c>
    </row>
    <row r="370" spans="1:23" ht="26.25" hidden="1" customHeight="1">
      <c r="A370" s="89"/>
      <c r="B370" s="89"/>
      <c r="C370" s="89"/>
      <c r="D370" s="114" t="s">
        <v>6547</v>
      </c>
      <c r="E370" s="132" t="s">
        <v>6620</v>
      </c>
      <c r="F370" s="89"/>
      <c r="G370" s="109" t="s">
        <v>6607</v>
      </c>
      <c r="H370" s="116"/>
      <c r="I370" s="89"/>
      <c r="J370" s="108" t="s">
        <v>6452</v>
      </c>
      <c r="K370" s="104" t="s">
        <v>6527</v>
      </c>
      <c r="L370" s="191"/>
      <c r="M370" s="108" t="s">
        <v>6627</v>
      </c>
      <c r="N370" s="176"/>
      <c r="O370" s="89"/>
      <c r="P370" s="89"/>
      <c r="Q370" s="144"/>
      <c r="R370" s="203"/>
      <c r="S370" s="209"/>
      <c r="T370" s="200"/>
      <c r="U370" s="116"/>
      <c r="V370" s="108" t="s">
        <v>6539</v>
      </c>
      <c r="W370" s="104" t="s">
        <v>6431</v>
      </c>
    </row>
    <row r="371" spans="1:23" ht="26.25" hidden="1" customHeight="1">
      <c r="A371" s="89"/>
      <c r="B371" s="89"/>
      <c r="C371" s="89"/>
      <c r="D371" s="104"/>
      <c r="E371" s="106" t="s">
        <v>5808</v>
      </c>
      <c r="F371" s="89"/>
      <c r="G371" s="109" t="s">
        <v>6623</v>
      </c>
      <c r="H371" s="112"/>
      <c r="I371" s="133"/>
      <c r="J371" s="190" t="s">
        <v>6500</v>
      </c>
      <c r="K371" s="104" t="s">
        <v>6552</v>
      </c>
      <c r="L371" s="191"/>
      <c r="M371" s="108" t="s">
        <v>6626</v>
      </c>
      <c r="N371" s="176"/>
      <c r="O371" s="89"/>
      <c r="P371" s="90"/>
      <c r="Q371" s="143"/>
      <c r="R371" s="203"/>
      <c r="S371" s="211"/>
      <c r="T371" s="200"/>
      <c r="U371" s="116"/>
      <c r="V371" s="108" t="s">
        <v>6542</v>
      </c>
      <c r="W371" s="104" t="s">
        <v>6494</v>
      </c>
    </row>
    <row r="372" spans="1:23" ht="26.25" hidden="1" customHeight="1">
      <c r="A372" s="89"/>
      <c r="B372" s="89"/>
      <c r="C372" s="89"/>
      <c r="D372" s="143"/>
      <c r="E372" s="104" t="s">
        <v>6651</v>
      </c>
      <c r="F372" s="89"/>
      <c r="G372" s="106" t="s">
        <v>6608</v>
      </c>
      <c r="H372" s="112"/>
      <c r="I372" s="133"/>
      <c r="J372" s="109" t="s">
        <v>6665</v>
      </c>
      <c r="K372" s="104" t="s">
        <v>6558</v>
      </c>
      <c r="L372" s="191"/>
      <c r="M372" s="108" t="s">
        <v>6625</v>
      </c>
      <c r="N372" s="176"/>
      <c r="O372" s="89"/>
      <c r="P372" s="89"/>
      <c r="Q372" s="143"/>
      <c r="R372" s="203"/>
      <c r="S372" s="211"/>
      <c r="T372" s="200"/>
      <c r="U372" s="116"/>
      <c r="V372" s="108" t="s">
        <v>6543</v>
      </c>
      <c r="W372" s="104" t="s">
        <v>6504</v>
      </c>
    </row>
    <row r="373" spans="1:23" ht="26.25" hidden="1" customHeight="1">
      <c r="A373" s="89"/>
      <c r="B373" s="89"/>
      <c r="C373" s="89"/>
      <c r="D373" s="143"/>
      <c r="E373" s="109" t="s">
        <v>6703</v>
      </c>
      <c r="F373" s="89"/>
      <c r="G373" s="109"/>
      <c r="H373" s="112"/>
      <c r="I373" s="133"/>
      <c r="J373" s="109" t="s">
        <v>6704</v>
      </c>
      <c r="K373" s="104" t="s">
        <v>6544</v>
      </c>
      <c r="L373" s="191"/>
      <c r="M373" s="108" t="s">
        <v>6624</v>
      </c>
      <c r="N373" s="176"/>
      <c r="O373" s="89"/>
      <c r="P373" s="89"/>
      <c r="Q373" s="176"/>
      <c r="R373" s="203"/>
      <c r="S373" s="211"/>
      <c r="T373" s="89"/>
      <c r="U373" s="89"/>
      <c r="V373" s="108" t="s">
        <v>6554</v>
      </c>
      <c r="W373" s="104" t="s">
        <v>6511</v>
      </c>
    </row>
    <row r="374" spans="1:23" ht="26.25" hidden="1" customHeight="1">
      <c r="A374" s="89"/>
      <c r="B374" s="89"/>
      <c r="C374" s="89"/>
      <c r="D374" s="143"/>
      <c r="E374" s="143"/>
      <c r="F374" s="89"/>
      <c r="G374" s="116"/>
      <c r="H374" s="112"/>
      <c r="I374" s="133"/>
      <c r="J374" s="211"/>
      <c r="K374" s="108" t="s">
        <v>6564</v>
      </c>
      <c r="L374" s="209"/>
      <c r="M374" s="104" t="s">
        <v>6645</v>
      </c>
      <c r="N374" s="176"/>
      <c r="O374" s="89"/>
      <c r="P374" s="116"/>
      <c r="Q374" s="176"/>
      <c r="R374" s="203"/>
      <c r="S374" s="211"/>
      <c r="T374" s="89"/>
      <c r="U374" s="191"/>
      <c r="V374" s="108" t="s">
        <v>6559</v>
      </c>
      <c r="W374" s="104" t="s">
        <v>6522</v>
      </c>
    </row>
    <row r="375" spans="1:23" ht="26.25" hidden="1" customHeight="1">
      <c r="A375" s="89"/>
      <c r="B375" s="89"/>
      <c r="C375" s="89"/>
      <c r="D375" s="193"/>
      <c r="E375" s="143"/>
      <c r="F375" s="112"/>
      <c r="G375" s="143"/>
      <c r="H375" s="112"/>
      <c r="I375" s="133"/>
      <c r="J375" s="144"/>
      <c r="K375" s="108" t="s">
        <v>6580</v>
      </c>
      <c r="L375" s="209"/>
      <c r="M375" s="108" t="s">
        <v>6684</v>
      </c>
      <c r="N375" s="176"/>
      <c r="O375" s="89"/>
      <c r="P375" s="89"/>
      <c r="Q375" s="89"/>
      <c r="R375" s="116"/>
      <c r="S375" s="211"/>
      <c r="T375" s="89"/>
      <c r="U375" s="89"/>
      <c r="V375" s="106" t="s">
        <v>6568</v>
      </c>
      <c r="W375" s="104" t="s">
        <v>6523</v>
      </c>
    </row>
    <row r="376" spans="1:23" ht="26.25" hidden="1" customHeight="1">
      <c r="A376" s="89"/>
      <c r="B376" s="89"/>
      <c r="C376" s="195"/>
      <c r="D376" s="90"/>
      <c r="E376" s="89"/>
      <c r="F376" s="89"/>
      <c r="G376" s="116"/>
      <c r="H376" s="116"/>
      <c r="I376" s="133"/>
      <c r="J376" s="144"/>
      <c r="K376" s="108" t="s">
        <v>6581</v>
      </c>
      <c r="L376" s="209"/>
      <c r="M376" s="108" t="s">
        <v>6691</v>
      </c>
      <c r="N376" s="176"/>
      <c r="O376" s="89"/>
      <c r="P376" s="89"/>
      <c r="Q376" s="89"/>
      <c r="R376" s="116"/>
      <c r="S376" s="116"/>
      <c r="T376" s="89"/>
      <c r="U376" s="89"/>
      <c r="V376" s="108" t="s">
        <v>6596</v>
      </c>
      <c r="W376" s="104" t="s">
        <v>6530</v>
      </c>
    </row>
    <row r="377" spans="1:23" ht="26.25" hidden="1" customHeight="1">
      <c r="A377" s="89"/>
      <c r="B377" s="89"/>
      <c r="C377" s="196"/>
      <c r="D377" s="90"/>
      <c r="E377" s="144"/>
      <c r="F377" s="89"/>
      <c r="G377" s="116"/>
      <c r="H377" s="116"/>
      <c r="I377" s="89"/>
      <c r="J377" s="90"/>
      <c r="K377" s="104" t="s">
        <v>6585</v>
      </c>
      <c r="L377" s="209"/>
      <c r="M377" s="104" t="s">
        <v>6700</v>
      </c>
      <c r="N377" s="209"/>
      <c r="O377" s="89"/>
      <c r="P377" s="89"/>
      <c r="Q377" s="89"/>
      <c r="R377" s="197"/>
      <c r="S377" s="89"/>
      <c r="T377" s="89"/>
      <c r="U377" s="193"/>
      <c r="V377" s="106" t="s">
        <v>6612</v>
      </c>
      <c r="W377" s="104" t="s">
        <v>6531</v>
      </c>
    </row>
    <row r="378" spans="1:23" ht="26.25" hidden="1" customHeight="1">
      <c r="A378" s="89"/>
      <c r="B378" s="89"/>
      <c r="C378" s="196"/>
      <c r="D378" s="89"/>
      <c r="E378" s="144"/>
      <c r="F378" s="143"/>
      <c r="G378" s="116"/>
      <c r="H378" s="116"/>
      <c r="I378" s="89"/>
      <c r="J378" s="89"/>
      <c r="K378" s="104" t="s">
        <v>6584</v>
      </c>
      <c r="L378" s="209"/>
      <c r="M378" s="108" t="s">
        <v>6705</v>
      </c>
      <c r="N378" s="209"/>
      <c r="O378" s="89"/>
      <c r="P378" s="89"/>
      <c r="Q378" s="89"/>
      <c r="R378" s="197"/>
      <c r="S378" s="116"/>
      <c r="T378" s="89"/>
      <c r="U378" s="193"/>
      <c r="V378" s="104" t="s">
        <v>6655</v>
      </c>
      <c r="W378" s="104" t="s">
        <v>6555</v>
      </c>
    </row>
    <row r="379" spans="1:23" ht="26.25" hidden="1" customHeight="1">
      <c r="A379" s="89"/>
      <c r="B379" s="89"/>
      <c r="C379" s="196"/>
      <c r="D379" s="193"/>
      <c r="E379" s="144"/>
      <c r="F379" s="89"/>
      <c r="G379" s="116"/>
      <c r="H379" s="116"/>
      <c r="I379" s="89"/>
      <c r="J379" s="176"/>
      <c r="K379" s="104" t="s">
        <v>6594</v>
      </c>
      <c r="L379" s="205"/>
      <c r="M379" s="208"/>
      <c r="N379" s="209"/>
      <c r="O379" s="116"/>
      <c r="P379" s="116"/>
      <c r="Q379" s="199"/>
      <c r="R379" s="116"/>
      <c r="S379" s="89"/>
      <c r="T379" s="116"/>
      <c r="U379" s="116"/>
      <c r="V379" s="109" t="s">
        <v>6672</v>
      </c>
      <c r="W379" s="104" t="s">
        <v>6569</v>
      </c>
    </row>
    <row r="380" spans="1:23" ht="26.25" hidden="1" customHeight="1">
      <c r="A380" s="89"/>
      <c r="B380" s="116"/>
      <c r="C380" s="196"/>
      <c r="D380" s="193"/>
      <c r="E380" s="144"/>
      <c r="F380" s="112"/>
      <c r="G380" s="116"/>
      <c r="H380" s="116"/>
      <c r="I380" s="89"/>
      <c r="J380" s="176"/>
      <c r="K380" s="109" t="s">
        <v>6598</v>
      </c>
      <c r="L380" s="205"/>
      <c r="M380" s="211"/>
      <c r="N380" s="209"/>
      <c r="O380" s="89"/>
      <c r="P380" s="89"/>
      <c r="Q380" s="210"/>
      <c r="R380" s="89"/>
      <c r="S380" s="143"/>
      <c r="T380" s="89"/>
      <c r="U380" s="193"/>
      <c r="V380" s="109"/>
      <c r="W380" s="109" t="s">
        <v>6619</v>
      </c>
    </row>
    <row r="381" spans="1:23" ht="26.25" hidden="1" customHeight="1">
      <c r="A381" s="89"/>
      <c r="B381" s="89"/>
      <c r="C381" s="176"/>
      <c r="D381" s="193"/>
      <c r="E381" s="143"/>
      <c r="F381" s="116"/>
      <c r="G381" s="116"/>
      <c r="H381" s="116"/>
      <c r="I381" s="89"/>
      <c r="J381" s="206"/>
      <c r="K381" s="109" t="s">
        <v>6646</v>
      </c>
      <c r="L381" s="205"/>
      <c r="M381" s="203"/>
      <c r="N381" s="203"/>
      <c r="O381" s="89"/>
      <c r="P381" s="89"/>
      <c r="Q381" s="210"/>
      <c r="R381" s="89"/>
      <c r="S381" s="116" t="s">
        <v>6621</v>
      </c>
      <c r="T381" s="89"/>
      <c r="U381" s="193"/>
      <c r="V381" s="116"/>
      <c r="W381" s="104" t="s">
        <v>6636</v>
      </c>
    </row>
    <row r="382" spans="1:23" ht="26.25" hidden="1" customHeight="1">
      <c r="A382" s="89"/>
      <c r="B382" s="89"/>
      <c r="C382" s="196"/>
      <c r="D382" s="193"/>
      <c r="E382" s="143"/>
      <c r="F382" s="144"/>
      <c r="G382" s="116"/>
      <c r="H382" s="116"/>
      <c r="I382" s="206"/>
      <c r="J382" s="207"/>
      <c r="K382" s="108" t="s">
        <v>6652</v>
      </c>
      <c r="L382" s="192"/>
      <c r="M382" s="203"/>
      <c r="N382" s="203"/>
      <c r="O382" s="89"/>
      <c r="P382" s="202"/>
      <c r="Q382" s="210"/>
      <c r="R382" s="197"/>
      <c r="S382" s="116"/>
      <c r="T382" s="191"/>
      <c r="U382" s="193"/>
      <c r="V382" s="89"/>
      <c r="W382" s="109" t="s">
        <v>6656</v>
      </c>
    </row>
    <row r="383" spans="1:23" ht="26.25" hidden="1" customHeight="1">
      <c r="A383" s="89"/>
      <c r="B383" s="89"/>
      <c r="C383" s="196"/>
      <c r="D383" s="193"/>
      <c r="E383" s="143"/>
      <c r="F383" s="143"/>
      <c r="G383" s="116"/>
      <c r="H383" s="116"/>
      <c r="I383" s="211"/>
      <c r="J383" s="211"/>
      <c r="K383" s="132"/>
      <c r="L383" s="144"/>
      <c r="M383" s="203"/>
      <c r="N383" s="89"/>
      <c r="O383" s="89"/>
      <c r="P383" s="200"/>
      <c r="Q383" s="210"/>
      <c r="R383" s="200"/>
      <c r="S383" s="116"/>
      <c r="T383" s="116"/>
      <c r="U383" s="201"/>
      <c r="V383" s="201"/>
      <c r="W383" s="104" t="s">
        <v>6676</v>
      </c>
    </row>
    <row r="384" spans="1:23" ht="26.25" hidden="1" customHeight="1">
      <c r="A384" s="89"/>
      <c r="B384" s="89"/>
      <c r="C384" s="89"/>
      <c r="D384" s="193"/>
      <c r="E384" s="144"/>
      <c r="F384" s="89"/>
      <c r="G384" s="116"/>
      <c r="H384" s="116"/>
      <c r="I384" s="211"/>
      <c r="J384" s="89"/>
      <c r="K384" s="196"/>
      <c r="L384" s="206"/>
      <c r="M384" s="203"/>
      <c r="N384" s="89"/>
      <c r="O384" s="89"/>
      <c r="P384" s="202"/>
      <c r="Q384" s="210"/>
      <c r="R384" s="203"/>
      <c r="S384" s="116"/>
      <c r="T384" s="191"/>
      <c r="U384" s="201"/>
      <c r="V384" s="201"/>
      <c r="W384" s="106" t="s">
        <v>6687</v>
      </c>
    </row>
    <row r="385" spans="1:23" s="111" customFormat="1" ht="26.25" hidden="1" customHeight="1">
      <c r="A385" s="110"/>
      <c r="B385" s="110"/>
      <c r="C385" s="110"/>
      <c r="D385" s="110"/>
      <c r="E385" s="213"/>
      <c r="F385" s="110"/>
      <c r="G385" s="213"/>
      <c r="H385" s="213"/>
      <c r="I385" s="110"/>
      <c r="J385" s="110"/>
      <c r="K385" s="110"/>
      <c r="L385" s="214"/>
      <c r="M385" s="214"/>
      <c r="N385" s="215"/>
      <c r="O385" s="213"/>
      <c r="P385" s="110"/>
      <c r="Q385" s="110"/>
      <c r="R385" s="110"/>
      <c r="S385" s="213"/>
      <c r="T385" s="110"/>
      <c r="U385" s="110"/>
      <c r="V385" s="110"/>
      <c r="W385" s="110" t="s">
        <v>6710</v>
      </c>
    </row>
    <row r="386" spans="1:23" ht="26.25" hidden="1" customHeight="1">
      <c r="A386" s="108" t="s">
        <v>7233</v>
      </c>
      <c r="B386" s="108" t="s">
        <v>7233</v>
      </c>
      <c r="C386" s="104" t="s">
        <v>6782</v>
      </c>
      <c r="D386" s="104" t="s">
        <v>6782</v>
      </c>
      <c r="E386" s="109" t="s">
        <v>6719</v>
      </c>
      <c r="F386" s="109" t="s">
        <v>6952</v>
      </c>
      <c r="G386" s="109" t="s">
        <v>6949</v>
      </c>
      <c r="H386" s="109" t="s">
        <v>6989</v>
      </c>
      <c r="I386" s="109" t="s">
        <v>6720</v>
      </c>
      <c r="J386" s="104" t="s">
        <v>6721</v>
      </c>
      <c r="K386" s="132" t="s">
        <v>6820</v>
      </c>
      <c r="L386" s="108" t="s">
        <v>6722</v>
      </c>
      <c r="M386" s="108" t="s">
        <v>6723</v>
      </c>
      <c r="N386" s="108" t="s">
        <v>6706</v>
      </c>
      <c r="O386" s="132" t="s">
        <v>6851</v>
      </c>
      <c r="P386" s="104" t="s">
        <v>6725</v>
      </c>
      <c r="Q386" s="109" t="s">
        <v>6708</v>
      </c>
      <c r="R386" s="109" t="s">
        <v>6681</v>
      </c>
      <c r="S386" s="104" t="s">
        <v>6709</v>
      </c>
      <c r="T386" s="109" t="s">
        <v>6839</v>
      </c>
      <c r="U386" s="104" t="s">
        <v>6680</v>
      </c>
      <c r="V386" s="109" t="s">
        <v>6883</v>
      </c>
      <c r="W386" s="108" t="s">
        <v>6727</v>
      </c>
    </row>
    <row r="387" spans="1:23" ht="26.25" hidden="1" customHeight="1">
      <c r="A387" s="104" t="s">
        <v>7261</v>
      </c>
      <c r="B387" s="109" t="s">
        <v>7256</v>
      </c>
      <c r="C387" s="104" t="s">
        <v>6793</v>
      </c>
      <c r="D387" s="104" t="s">
        <v>6811</v>
      </c>
      <c r="E387" s="104" t="s">
        <v>6739</v>
      </c>
      <c r="F387" s="104" t="s">
        <v>6988</v>
      </c>
      <c r="G387" s="104" t="s">
        <v>7004</v>
      </c>
      <c r="H387" s="104" t="s">
        <v>6978</v>
      </c>
      <c r="I387" s="108" t="s">
        <v>6754</v>
      </c>
      <c r="J387" s="104" t="s">
        <v>6755</v>
      </c>
      <c r="K387" s="108" t="s">
        <v>6879</v>
      </c>
      <c r="L387" s="104" t="s">
        <v>6756</v>
      </c>
      <c r="M387" s="104" t="s">
        <v>6913</v>
      </c>
      <c r="N387" s="104" t="s">
        <v>6724</v>
      </c>
      <c r="O387" s="104" t="s">
        <v>6865</v>
      </c>
      <c r="P387" s="109" t="s">
        <v>6740</v>
      </c>
      <c r="Q387" s="132" t="s">
        <v>6717</v>
      </c>
      <c r="R387" s="109" t="s">
        <v>6746</v>
      </c>
      <c r="S387" s="109" t="s">
        <v>6737</v>
      </c>
      <c r="T387" s="108" t="s">
        <v>6866</v>
      </c>
      <c r="U387" s="109" t="s">
        <v>6882</v>
      </c>
      <c r="V387" s="104" t="s">
        <v>6946</v>
      </c>
      <c r="W387" s="104" t="s">
        <v>6757</v>
      </c>
    </row>
    <row r="388" spans="1:23" ht="26.25" hidden="1" customHeight="1">
      <c r="A388" s="109" t="s">
        <v>7284</v>
      </c>
      <c r="B388" s="104" t="s">
        <v>7262</v>
      </c>
      <c r="C388" s="108" t="s">
        <v>6802</v>
      </c>
      <c r="D388" s="109" t="s">
        <v>6824</v>
      </c>
      <c r="E388" s="109" t="s">
        <v>6748</v>
      </c>
      <c r="F388" s="104" t="s">
        <v>6970</v>
      </c>
      <c r="G388" s="104" t="s">
        <v>7031</v>
      </c>
      <c r="H388" s="107" t="s">
        <v>6979</v>
      </c>
      <c r="I388" s="108" t="s">
        <v>6795</v>
      </c>
      <c r="J388" s="104" t="s">
        <v>6775</v>
      </c>
      <c r="K388" s="104" t="s">
        <v>6906</v>
      </c>
      <c r="L388" s="104" t="s">
        <v>6798</v>
      </c>
      <c r="M388" s="109" t="s">
        <v>6965</v>
      </c>
      <c r="N388" s="104" t="s">
        <v>6894</v>
      </c>
      <c r="O388" s="104" t="s">
        <v>6880</v>
      </c>
      <c r="P388" s="104" t="s">
        <v>6741</v>
      </c>
      <c r="Q388" s="106" t="s">
        <v>6718</v>
      </c>
      <c r="R388" s="109" t="s">
        <v>7183</v>
      </c>
      <c r="S388" s="109" t="s">
        <v>6738</v>
      </c>
      <c r="T388" s="104" t="s">
        <v>6872</v>
      </c>
      <c r="U388" s="109" t="s">
        <v>6909</v>
      </c>
      <c r="V388" s="109" t="s">
        <v>6968</v>
      </c>
      <c r="W388" s="104" t="s">
        <v>6785</v>
      </c>
    </row>
    <row r="389" spans="1:23" ht="26.25" hidden="1" customHeight="1">
      <c r="A389" s="106" t="s">
        <v>7276</v>
      </c>
      <c r="B389" s="108" t="s">
        <v>7257</v>
      </c>
      <c r="C389" s="104" t="s">
        <v>6825</v>
      </c>
      <c r="D389" s="108" t="s">
        <v>6826</v>
      </c>
      <c r="E389" s="109" t="s">
        <v>6753</v>
      </c>
      <c r="F389" s="104" t="s">
        <v>6971</v>
      </c>
      <c r="G389" s="106" t="s">
        <v>7041</v>
      </c>
      <c r="H389" s="104" t="s">
        <v>7005</v>
      </c>
      <c r="I389" s="132" t="s">
        <v>7237</v>
      </c>
      <c r="J389" s="132" t="s">
        <v>6796</v>
      </c>
      <c r="K389" s="109" t="s">
        <v>7139</v>
      </c>
      <c r="L389" s="108" t="s">
        <v>6829</v>
      </c>
      <c r="M389" s="109" t="s">
        <v>6991</v>
      </c>
      <c r="N389" s="109" t="s">
        <v>7020</v>
      </c>
      <c r="O389" s="109" t="s">
        <v>6943</v>
      </c>
      <c r="P389" s="104" t="s">
        <v>6776</v>
      </c>
      <c r="Q389" s="109" t="s">
        <v>6726</v>
      </c>
      <c r="R389" s="109" t="s">
        <v>7215</v>
      </c>
      <c r="S389" s="108" t="s">
        <v>6743</v>
      </c>
      <c r="T389" s="104" t="s">
        <v>6873</v>
      </c>
      <c r="U389" s="104" t="s">
        <v>6944</v>
      </c>
      <c r="V389" s="109" t="s">
        <v>7144</v>
      </c>
      <c r="W389" s="104" t="s">
        <v>6817</v>
      </c>
    </row>
    <row r="390" spans="1:23" ht="26.25" hidden="1" customHeight="1">
      <c r="A390" s="104" t="s">
        <v>7308</v>
      </c>
      <c r="B390" s="104" t="s">
        <v>7285</v>
      </c>
      <c r="C390" s="155" t="s">
        <v>7028</v>
      </c>
      <c r="D390" s="104" t="s">
        <v>6841</v>
      </c>
      <c r="E390" s="109" t="s">
        <v>6774</v>
      </c>
      <c r="F390" s="104" t="s">
        <v>7002</v>
      </c>
      <c r="G390" s="104" t="s">
        <v>7076</v>
      </c>
      <c r="H390" s="104" t="s">
        <v>7053</v>
      </c>
      <c r="I390" s="108" t="s">
        <v>7408</v>
      </c>
      <c r="J390" s="108" t="s">
        <v>6797</v>
      </c>
      <c r="K390" s="104" t="s">
        <v>7142</v>
      </c>
      <c r="L390" s="104" t="s">
        <v>6843</v>
      </c>
      <c r="M390" s="108" t="s">
        <v>6976</v>
      </c>
      <c r="N390" s="109" t="s">
        <v>7312</v>
      </c>
      <c r="O390" s="109" t="s">
        <v>7019</v>
      </c>
      <c r="P390" s="109" t="s">
        <v>7111</v>
      </c>
      <c r="Q390" s="104" t="s">
        <v>6742</v>
      </c>
      <c r="R390" s="104" t="s">
        <v>7294</v>
      </c>
      <c r="S390" s="109" t="s">
        <v>6783</v>
      </c>
      <c r="T390" s="104" t="s">
        <v>6874</v>
      </c>
      <c r="U390" s="109" t="s">
        <v>7156</v>
      </c>
      <c r="V390" s="104" t="s">
        <v>7165</v>
      </c>
      <c r="W390" s="104" t="s">
        <v>6852</v>
      </c>
    </row>
    <row r="391" spans="1:23" ht="26.25" hidden="1" customHeight="1">
      <c r="A391" s="106" t="s">
        <v>7259</v>
      </c>
      <c r="B391" s="104" t="s">
        <v>7353</v>
      </c>
      <c r="C391" s="109" t="s">
        <v>7040</v>
      </c>
      <c r="D391" s="104" t="s">
        <v>6849</v>
      </c>
      <c r="E391" s="109" t="s">
        <v>6812</v>
      </c>
      <c r="F391" s="104" t="s">
        <v>5604</v>
      </c>
      <c r="G391" s="104" t="s">
        <v>7071</v>
      </c>
      <c r="H391" s="104" t="s">
        <v>7038</v>
      </c>
      <c r="I391" s="108" t="s">
        <v>7504</v>
      </c>
      <c r="J391" s="109" t="s">
        <v>6816</v>
      </c>
      <c r="K391" s="109" t="s">
        <v>7191</v>
      </c>
      <c r="L391" s="104" t="s">
        <v>6842</v>
      </c>
      <c r="M391" s="108" t="s">
        <v>7007</v>
      </c>
      <c r="N391" s="108" t="s">
        <v>7298</v>
      </c>
      <c r="O391" s="109" t="s">
        <v>7078</v>
      </c>
      <c r="P391" s="109" t="s">
        <v>7173</v>
      </c>
      <c r="Q391" s="108" t="s">
        <v>6747</v>
      </c>
      <c r="R391" s="109" t="s">
        <v>7410</v>
      </c>
      <c r="S391" s="129" t="s">
        <v>5827</v>
      </c>
      <c r="T391" s="104" t="s">
        <v>6875</v>
      </c>
      <c r="U391" s="104" t="s">
        <v>7164</v>
      </c>
      <c r="V391" s="104" t="s">
        <v>7194</v>
      </c>
      <c r="W391" s="104" t="s">
        <v>6867</v>
      </c>
    </row>
    <row r="392" spans="1:23" ht="26.25" hidden="1" customHeight="1">
      <c r="A392" s="104" t="s">
        <v>7352</v>
      </c>
      <c r="B392" s="109" t="s">
        <v>7381</v>
      </c>
      <c r="C392" s="104" t="s">
        <v>7039</v>
      </c>
      <c r="D392" s="104" t="s">
        <v>6859</v>
      </c>
      <c r="E392" s="109" t="s">
        <v>6827</v>
      </c>
      <c r="F392" s="104" t="s">
        <v>7103</v>
      </c>
      <c r="G392" s="104" t="s">
        <v>7072</v>
      </c>
      <c r="H392" s="104" t="s">
        <v>7092</v>
      </c>
      <c r="I392" s="109" t="s">
        <v>7534</v>
      </c>
      <c r="J392" s="108" t="s">
        <v>6815</v>
      </c>
      <c r="K392" s="104" t="s">
        <v>7227</v>
      </c>
      <c r="L392" s="104" t="s">
        <v>6850</v>
      </c>
      <c r="M392" s="108" t="s">
        <v>7249</v>
      </c>
      <c r="N392" s="104" t="s">
        <v>7363</v>
      </c>
      <c r="O392" s="242" t="s">
        <v>7409</v>
      </c>
      <c r="P392" s="104" t="s">
        <v>7293</v>
      </c>
      <c r="Q392" s="104" t="s">
        <v>6777</v>
      </c>
      <c r="R392" s="108" t="s">
        <v>7460</v>
      </c>
      <c r="S392" s="106" t="s">
        <v>6784</v>
      </c>
      <c r="T392" s="104" t="s">
        <v>6881</v>
      </c>
      <c r="U392" s="104" t="s">
        <v>7193</v>
      </c>
      <c r="V392" s="109" t="s">
        <v>7373</v>
      </c>
      <c r="W392" s="109" t="s">
        <v>6884</v>
      </c>
    </row>
    <row r="393" spans="1:23" ht="26.25" hidden="1" customHeight="1">
      <c r="A393" s="108" t="s">
        <v>7446</v>
      </c>
      <c r="B393" s="109" t="s">
        <v>7399</v>
      </c>
      <c r="C393" s="106" t="s">
        <v>7042</v>
      </c>
      <c r="D393" s="108" t="s">
        <v>6862</v>
      </c>
      <c r="E393" s="104" t="s">
        <v>6860</v>
      </c>
      <c r="F393" s="177" t="s">
        <v>5270</v>
      </c>
      <c r="G393" s="104" t="s">
        <v>7113</v>
      </c>
      <c r="H393" s="104" t="s">
        <v>7093</v>
      </c>
      <c r="I393" s="109" t="s">
        <v>7554</v>
      </c>
      <c r="J393" s="108" t="s">
        <v>6814</v>
      </c>
      <c r="K393" s="104" t="s">
        <v>7238</v>
      </c>
      <c r="L393" s="108" t="s">
        <v>6861</v>
      </c>
      <c r="M393" s="104" t="s">
        <v>7278</v>
      </c>
      <c r="N393" s="104" t="s">
        <v>7370</v>
      </c>
      <c r="O393" s="132" t="s">
        <v>7488</v>
      </c>
      <c r="P393" s="109" t="s">
        <v>7386</v>
      </c>
      <c r="Q393" s="109" t="s">
        <v>7111</v>
      </c>
      <c r="R393" s="104" t="s">
        <v>7474</v>
      </c>
      <c r="S393" s="109" t="s">
        <v>7183</v>
      </c>
      <c r="T393" s="132" t="s">
        <v>6893</v>
      </c>
      <c r="U393" s="109" t="s">
        <v>7372</v>
      </c>
      <c r="V393" s="104" t="s">
        <v>7461</v>
      </c>
      <c r="W393" s="106" t="s">
        <v>6892</v>
      </c>
    </row>
    <row r="394" spans="1:23" ht="26.25" hidden="1" customHeight="1">
      <c r="A394" s="109" t="s">
        <v>7452</v>
      </c>
      <c r="B394" s="108" t="s">
        <v>7476</v>
      </c>
      <c r="C394" s="109" t="s">
        <v>7049</v>
      </c>
      <c r="D394" s="104" t="s">
        <v>6904</v>
      </c>
      <c r="E394" s="106" t="s">
        <v>6863</v>
      </c>
      <c r="F394" s="104" t="s">
        <v>7189</v>
      </c>
      <c r="G394" s="109" t="s">
        <v>7160</v>
      </c>
      <c r="H394" s="104" t="s">
        <v>7094</v>
      </c>
      <c r="I394" s="104" t="s">
        <v>7586</v>
      </c>
      <c r="J394" s="109" t="s">
        <v>6813</v>
      </c>
      <c r="K394" s="106" t="s">
        <v>7255</v>
      </c>
      <c r="L394" s="108" t="s">
        <v>6864</v>
      </c>
      <c r="M394" s="104" t="s">
        <v>7279</v>
      </c>
      <c r="N394" s="104" t="s">
        <v>7371</v>
      </c>
      <c r="O394" s="108" t="s">
        <v>7500</v>
      </c>
      <c r="P394" s="104" t="s">
        <v>7401</v>
      </c>
      <c r="Q394" s="109" t="s">
        <v>7174</v>
      </c>
      <c r="R394" s="109" t="s">
        <v>7540</v>
      </c>
      <c r="S394" s="104" t="s">
        <v>7364</v>
      </c>
      <c r="T394" s="108" t="s">
        <v>6908</v>
      </c>
      <c r="U394" s="104" t="s">
        <v>7475</v>
      </c>
      <c r="V394" s="259" t="s">
        <v>7462</v>
      </c>
      <c r="W394" s="106" t="s">
        <v>6910</v>
      </c>
    </row>
    <row r="395" spans="1:23" ht="26.25" hidden="1" customHeight="1">
      <c r="A395" s="104" t="s">
        <v>7453</v>
      </c>
      <c r="B395" s="109" t="s">
        <v>7481</v>
      </c>
      <c r="C395" s="108" t="s">
        <v>7050</v>
      </c>
      <c r="D395" s="104" t="s">
        <v>6921</v>
      </c>
      <c r="E395" s="109" t="s">
        <v>6878</v>
      </c>
      <c r="F395" s="104" t="s">
        <v>7211</v>
      </c>
      <c r="G395" s="104" t="s">
        <v>7212</v>
      </c>
      <c r="H395" s="104" t="s">
        <v>7100</v>
      </c>
      <c r="I395" s="104" t="s">
        <v>7597</v>
      </c>
      <c r="J395" s="132" t="s">
        <v>6818</v>
      </c>
      <c r="K395" s="109" t="s">
        <v>7265</v>
      </c>
      <c r="L395" s="104" t="s">
        <v>6907</v>
      </c>
      <c r="M395" s="104" t="s">
        <v>7324</v>
      </c>
      <c r="N395" s="104" t="s">
        <v>7447</v>
      </c>
      <c r="O395" s="132" t="s">
        <v>7501</v>
      </c>
      <c r="P395" s="104" t="s">
        <v>7538</v>
      </c>
      <c r="Q395" s="104" t="s">
        <v>7325</v>
      </c>
      <c r="R395" s="104" t="s">
        <v>7565</v>
      </c>
      <c r="S395" s="109" t="s">
        <v>7541</v>
      </c>
      <c r="T395" s="108" t="s">
        <v>6923</v>
      </c>
      <c r="U395" s="104" t="s">
        <v>7491</v>
      </c>
      <c r="V395" s="255"/>
      <c r="W395" s="104" t="s">
        <v>6945</v>
      </c>
    </row>
    <row r="396" spans="1:23" ht="26.25" hidden="1" customHeight="1">
      <c r="A396" s="104" t="s">
        <v>7480</v>
      </c>
      <c r="B396" s="108" t="s">
        <v>7598</v>
      </c>
      <c r="C396" s="106" t="s">
        <v>7075</v>
      </c>
      <c r="D396" s="106" t="s">
        <v>6916</v>
      </c>
      <c r="E396" s="104" t="s">
        <v>6905</v>
      </c>
      <c r="F396" s="104" t="s">
        <v>7225</v>
      </c>
      <c r="G396" s="107" t="s">
        <v>7286</v>
      </c>
      <c r="H396" s="104" t="s">
        <v>7236</v>
      </c>
      <c r="I396" s="104" t="s">
        <v>7608</v>
      </c>
      <c r="J396" s="132" t="s">
        <v>6819</v>
      </c>
      <c r="K396" s="106" t="s">
        <v>7288</v>
      </c>
      <c r="L396" s="109" t="s">
        <v>7140</v>
      </c>
      <c r="M396" s="104" t="s">
        <v>7362</v>
      </c>
      <c r="N396" s="104" t="s">
        <v>7411</v>
      </c>
      <c r="O396" s="108" t="s">
        <v>7537</v>
      </c>
      <c r="P396" s="108" t="s">
        <v>7587</v>
      </c>
      <c r="Q396" s="109" t="s">
        <v>7387</v>
      </c>
      <c r="R396" s="104" t="s">
        <v>7573</v>
      </c>
      <c r="S396" s="104" t="s">
        <v>7544</v>
      </c>
      <c r="T396" s="104" t="s">
        <v>7008</v>
      </c>
      <c r="U396" s="104" t="s">
        <v>7498</v>
      </c>
      <c r="V396" s="256"/>
      <c r="W396" s="104" t="s">
        <v>6966</v>
      </c>
    </row>
    <row r="397" spans="1:23" ht="26.25" hidden="1" customHeight="1">
      <c r="A397" s="108" t="s">
        <v>7598</v>
      </c>
      <c r="B397" s="269"/>
      <c r="C397" s="108" t="s">
        <v>7074</v>
      </c>
      <c r="D397" s="104" t="s">
        <v>6940</v>
      </c>
      <c r="E397" s="108" t="s">
        <v>5827</v>
      </c>
      <c r="F397" s="104" t="s">
        <v>7235</v>
      </c>
      <c r="G397" s="109" t="s">
        <v>7311</v>
      </c>
      <c r="H397" s="114" t="s">
        <v>7264</v>
      </c>
      <c r="I397" s="108" t="s">
        <v>7623</v>
      </c>
      <c r="J397" s="108" t="s">
        <v>6821</v>
      </c>
      <c r="K397" s="109" t="s">
        <v>7322</v>
      </c>
      <c r="L397" s="108" t="s">
        <v>7141</v>
      </c>
      <c r="M397" s="104" t="s">
        <v>7368</v>
      </c>
      <c r="N397" s="104" t="s">
        <v>7448</v>
      </c>
      <c r="O397" s="269"/>
      <c r="P397" s="143"/>
      <c r="Q397" s="104" t="s">
        <v>7402</v>
      </c>
      <c r="R397" s="108" t="s">
        <v>7588</v>
      </c>
      <c r="S397" s="104" t="s">
        <v>7574</v>
      </c>
      <c r="T397" s="237" t="s">
        <v>5600</v>
      </c>
      <c r="U397" s="104" t="s">
        <v>7508</v>
      </c>
      <c r="V397" s="197"/>
      <c r="W397" s="104" t="s">
        <v>6992</v>
      </c>
    </row>
    <row r="398" spans="1:23" ht="26.25" hidden="1" customHeight="1">
      <c r="A398" s="267"/>
      <c r="B398" s="256"/>
      <c r="C398" s="109" t="s">
        <v>7097</v>
      </c>
      <c r="D398" s="104" t="s">
        <v>6948</v>
      </c>
      <c r="E398" s="104" t="s">
        <v>6914</v>
      </c>
      <c r="F398" s="104" t="s">
        <v>7310</v>
      </c>
      <c r="G398" s="104" t="s">
        <v>7355</v>
      </c>
      <c r="H398" s="114" t="s">
        <v>7356</v>
      </c>
      <c r="I398" s="108" t="s">
        <v>7624</v>
      </c>
      <c r="J398" s="104" t="s">
        <v>6822</v>
      </c>
      <c r="K398" s="108" t="s">
        <v>7358</v>
      </c>
      <c r="L398" s="108" t="s">
        <v>7143</v>
      </c>
      <c r="M398" s="109" t="s">
        <v>7536</v>
      </c>
      <c r="N398" s="104" t="s">
        <v>7471</v>
      </c>
      <c r="O398" s="269"/>
      <c r="P398" s="143"/>
      <c r="Q398" s="104" t="s">
        <v>7459</v>
      </c>
      <c r="R398" s="108" t="s">
        <v>7601</v>
      </c>
      <c r="S398" s="108" t="s">
        <v>7589</v>
      </c>
      <c r="T398" s="104" t="s">
        <v>7003</v>
      </c>
      <c r="U398" s="104" t="s">
        <v>7582</v>
      </c>
      <c r="V398" s="197"/>
      <c r="W398" s="104" t="s">
        <v>7032</v>
      </c>
    </row>
    <row r="399" spans="1:23" ht="26.25" hidden="1" customHeight="1">
      <c r="A399" s="251"/>
      <c r="B399" s="256"/>
      <c r="C399" s="109" t="s">
        <v>7099</v>
      </c>
      <c r="D399" s="104" t="s">
        <v>6963</v>
      </c>
      <c r="E399" s="104" t="s">
        <v>6922</v>
      </c>
      <c r="F399" s="104" t="s">
        <v>7320</v>
      </c>
      <c r="G399" s="104" t="s">
        <v>7444</v>
      </c>
      <c r="H399" s="104" t="s">
        <v>7382</v>
      </c>
      <c r="I399" s="108" t="s">
        <v>7627</v>
      </c>
      <c r="J399" s="104" t="s">
        <v>6828</v>
      </c>
      <c r="K399" s="104" t="s">
        <v>7457</v>
      </c>
      <c r="L399" s="104" t="s">
        <v>7162</v>
      </c>
      <c r="M399" s="104" t="s">
        <v>7549</v>
      </c>
      <c r="N399" s="104" t="s">
        <v>7472</v>
      </c>
      <c r="O399" s="261"/>
      <c r="P399" s="211"/>
      <c r="Q399" s="104" t="s">
        <v>7435</v>
      </c>
      <c r="R399" s="108" t="s">
        <v>7602</v>
      </c>
      <c r="S399" s="108" t="s">
        <v>7631</v>
      </c>
      <c r="T399" s="177" t="s">
        <v>5270</v>
      </c>
      <c r="U399" s="104" t="s">
        <v>7591</v>
      </c>
      <c r="V399" s="197"/>
      <c r="W399" s="106" t="s">
        <v>7055</v>
      </c>
    </row>
    <row r="400" spans="1:23" ht="26.25" hidden="1" customHeight="1">
      <c r="A400" s="251"/>
      <c r="B400" s="256"/>
      <c r="C400" s="104" t="s">
        <v>7112</v>
      </c>
      <c r="D400" s="109" t="s">
        <v>6980</v>
      </c>
      <c r="E400" s="104" t="s">
        <v>6932</v>
      </c>
      <c r="F400" s="104" t="s">
        <v>7367</v>
      </c>
      <c r="G400" s="114" t="s">
        <v>7532</v>
      </c>
      <c r="H400" s="104" t="s">
        <v>7383</v>
      </c>
      <c r="I400" s="108" t="s">
        <v>7664</v>
      </c>
      <c r="J400" s="108" t="s">
        <v>6895</v>
      </c>
      <c r="K400" s="104" t="s">
        <v>7470</v>
      </c>
      <c r="L400" s="108" t="s">
        <v>7157</v>
      </c>
      <c r="M400" s="104" t="s">
        <v>7509</v>
      </c>
      <c r="N400" s="104" t="s">
        <v>7473</v>
      </c>
      <c r="O400" s="270"/>
      <c r="P400" s="254"/>
      <c r="Q400" s="104" t="s">
        <v>7489</v>
      </c>
      <c r="R400" s="108" t="s">
        <v>7603</v>
      </c>
      <c r="S400" s="169"/>
      <c r="T400" s="104" t="s">
        <v>7163</v>
      </c>
      <c r="U400" s="104" t="s">
        <v>7615</v>
      </c>
      <c r="V400" s="233"/>
      <c r="W400" s="106" t="s">
        <v>7056</v>
      </c>
    </row>
    <row r="401" spans="1:23" ht="26.25" hidden="1" customHeight="1">
      <c r="A401" s="251"/>
      <c r="B401" s="256"/>
      <c r="C401" s="109" t="s">
        <v>7188</v>
      </c>
      <c r="D401" s="104" t="s">
        <v>6969</v>
      </c>
      <c r="E401" s="104" t="s">
        <v>6941</v>
      </c>
      <c r="F401" s="107" t="s">
        <v>7455</v>
      </c>
      <c r="G401" s="104" t="s">
        <v>7569</v>
      </c>
      <c r="H401" s="104" t="s">
        <v>7456</v>
      </c>
      <c r="I401" s="269"/>
      <c r="J401" s="104" t="s">
        <v>6942</v>
      </c>
      <c r="K401" s="104" t="s">
        <v>7485</v>
      </c>
      <c r="L401" s="104" t="s">
        <v>7214</v>
      </c>
      <c r="M401" s="104"/>
      <c r="N401" s="107" t="s">
        <v>7487</v>
      </c>
      <c r="O401" s="261"/>
      <c r="P401" s="270"/>
      <c r="Q401" s="104" t="s">
        <v>7502</v>
      </c>
      <c r="R401" s="108" t="s">
        <v>7612</v>
      </c>
      <c r="S401" s="143"/>
      <c r="T401" s="106" t="s">
        <v>7179</v>
      </c>
      <c r="U401" s="104"/>
      <c r="V401" s="233"/>
      <c r="W401" s="104" t="s">
        <v>7079</v>
      </c>
    </row>
    <row r="402" spans="1:23" ht="26.25" hidden="1" customHeight="1">
      <c r="A402" s="133"/>
      <c r="B402" s="254"/>
      <c r="C402" s="114" t="s">
        <v>7210</v>
      </c>
      <c r="D402" s="104" t="s">
        <v>6986</v>
      </c>
      <c r="E402" s="108" t="s">
        <v>6967</v>
      </c>
      <c r="F402" s="114" t="s">
        <v>7482</v>
      </c>
      <c r="G402" s="104" t="s">
        <v>7584</v>
      </c>
      <c r="H402" s="114" t="s">
        <v>7483</v>
      </c>
      <c r="I402" s="266"/>
      <c r="J402" s="104" t="s">
        <v>6950</v>
      </c>
      <c r="K402" s="108" t="s">
        <v>7535</v>
      </c>
      <c r="L402" s="104" t="s">
        <v>7228</v>
      </c>
      <c r="M402" s="264"/>
      <c r="N402" s="104" t="s">
        <v>7499</v>
      </c>
      <c r="O402" s="261"/>
      <c r="P402" s="270"/>
      <c r="Q402" s="104" t="s">
        <v>7503</v>
      </c>
      <c r="R402" s="104" t="s">
        <v>7620</v>
      </c>
      <c r="S402" s="268"/>
      <c r="T402" s="108" t="s">
        <v>7192</v>
      </c>
      <c r="U402" s="198"/>
      <c r="V402" s="256"/>
      <c r="W402" s="104" t="s">
        <v>7102</v>
      </c>
    </row>
    <row r="403" spans="1:23" ht="26.25" hidden="1" customHeight="1">
      <c r="A403" s="240"/>
      <c r="B403" s="254"/>
      <c r="C403" s="104" t="s">
        <v>7234</v>
      </c>
      <c r="D403" s="104" t="s">
        <v>6997</v>
      </c>
      <c r="E403" s="104" t="s">
        <v>6987</v>
      </c>
      <c r="F403" s="158" t="s">
        <v>7552</v>
      </c>
      <c r="G403" s="109"/>
      <c r="H403" s="107" t="s">
        <v>7533</v>
      </c>
      <c r="I403" s="266"/>
      <c r="J403" s="104" t="s">
        <v>6951</v>
      </c>
      <c r="K403" s="106" t="s">
        <v>7566</v>
      </c>
      <c r="L403" s="104" t="s">
        <v>7229</v>
      </c>
      <c r="M403" s="253"/>
      <c r="N403" s="108" t="s">
        <v>7557</v>
      </c>
      <c r="O403" s="261"/>
      <c r="P403" s="270"/>
      <c r="Q403" s="108" t="s">
        <v>7507</v>
      </c>
      <c r="R403" s="108" t="s">
        <v>7621</v>
      </c>
      <c r="S403" s="268"/>
      <c r="T403" s="114" t="s">
        <v>7240</v>
      </c>
      <c r="U403" s="224"/>
      <c r="V403" s="233"/>
      <c r="W403" s="104" t="s">
        <v>7115</v>
      </c>
    </row>
    <row r="404" spans="1:23" ht="26.25" hidden="1" customHeight="1">
      <c r="A404" s="89"/>
      <c r="B404" s="254"/>
      <c r="C404" s="104" t="s">
        <v>7248</v>
      </c>
      <c r="D404" s="104" t="s">
        <v>6998</v>
      </c>
      <c r="E404" s="104" t="s">
        <v>7052</v>
      </c>
      <c r="F404" s="109"/>
      <c r="G404" s="116"/>
      <c r="H404" s="104" t="s">
        <v>7553</v>
      </c>
      <c r="I404" s="266"/>
      <c r="J404" s="108" t="s">
        <v>6964</v>
      </c>
      <c r="K404" s="104" t="s">
        <v>7610</v>
      </c>
      <c r="L404" s="104" t="s">
        <v>7230</v>
      </c>
      <c r="M404" s="253"/>
      <c r="N404" s="270"/>
      <c r="O404" s="270"/>
      <c r="P404" s="270"/>
      <c r="Q404" s="108" t="s">
        <v>7539</v>
      </c>
      <c r="R404" s="104"/>
      <c r="S404" s="196"/>
      <c r="T404" s="104" t="s">
        <v>7277</v>
      </c>
      <c r="U404" s="261"/>
      <c r="V404" s="233"/>
      <c r="W404" s="104" t="s">
        <v>7145</v>
      </c>
    </row>
    <row r="405" spans="1:23" ht="26.25" hidden="1" customHeight="1">
      <c r="A405" s="89"/>
      <c r="B405" s="254"/>
      <c r="C405" s="104" t="s">
        <v>7263</v>
      </c>
      <c r="D405" s="104" t="s">
        <v>7000</v>
      </c>
      <c r="E405" s="109" t="s">
        <v>7568</v>
      </c>
      <c r="F405" s="259"/>
      <c r="G405" s="116"/>
      <c r="H405" s="109" t="s">
        <v>7570</v>
      </c>
      <c r="I405" s="267"/>
      <c r="J405" s="104" t="s">
        <v>6977</v>
      </c>
      <c r="K405" s="270" t="s">
        <v>7659</v>
      </c>
      <c r="L405" s="108" t="s">
        <v>7239</v>
      </c>
      <c r="M405" s="253"/>
      <c r="N405" s="269"/>
      <c r="O405" s="270"/>
      <c r="P405" s="270"/>
      <c r="Q405" s="274" t="s">
        <v>7658</v>
      </c>
      <c r="R405" s="270"/>
      <c r="S405" s="196"/>
      <c r="T405" s="104" t="s">
        <v>7291</v>
      </c>
      <c r="U405" s="261"/>
      <c r="V405" s="236"/>
      <c r="W405" s="104" t="s">
        <v>7195</v>
      </c>
    </row>
    <row r="406" spans="1:23" ht="26.25" hidden="1" customHeight="1">
      <c r="A406" s="89"/>
      <c r="B406" s="89"/>
      <c r="C406" s="109" t="s">
        <v>7309</v>
      </c>
      <c r="D406" s="109" t="s">
        <v>7001</v>
      </c>
      <c r="E406" s="109"/>
      <c r="F406" s="259"/>
      <c r="G406" s="116"/>
      <c r="H406" s="104" t="s">
        <v>7585</v>
      </c>
      <c r="I406" s="267"/>
      <c r="J406" s="104" t="s">
        <v>6990</v>
      </c>
      <c r="K406" s="270" t="s">
        <v>7661</v>
      </c>
      <c r="L406" s="104" t="s">
        <v>7254</v>
      </c>
      <c r="M406" s="253"/>
      <c r="N406" s="269"/>
      <c r="O406" s="270"/>
      <c r="P406" s="270"/>
      <c r="Q406" s="104" t="s">
        <v>7564</v>
      </c>
      <c r="R406" s="264"/>
      <c r="S406" s="196"/>
      <c r="T406" s="104" t="s">
        <v>7292</v>
      </c>
      <c r="U406" s="261"/>
      <c r="V406" s="236"/>
      <c r="W406" s="104" t="s">
        <v>7181</v>
      </c>
    </row>
    <row r="407" spans="1:23" ht="26.25" hidden="1" customHeight="1">
      <c r="A407" s="89"/>
      <c r="B407" s="89"/>
      <c r="C407" s="106" t="s">
        <v>7232</v>
      </c>
      <c r="D407" s="106" t="s">
        <v>7014</v>
      </c>
      <c r="E407" s="89"/>
      <c r="F407" s="259"/>
      <c r="G407" s="116"/>
      <c r="H407" s="143"/>
      <c r="I407" s="267"/>
      <c r="J407" s="104" t="s">
        <v>7006</v>
      </c>
      <c r="K407" s="264"/>
      <c r="L407" s="109" t="s">
        <v>7266</v>
      </c>
      <c r="M407" s="264"/>
      <c r="N407" s="259"/>
      <c r="O407" s="270"/>
      <c r="P407" s="270"/>
      <c r="Q407" s="104" t="s">
        <v>7572</v>
      </c>
      <c r="R407" s="264"/>
      <c r="S407" s="196"/>
      <c r="T407" s="104" t="s">
        <v>7313</v>
      </c>
      <c r="U407" s="261"/>
      <c r="V407" s="236"/>
      <c r="W407" s="104" t="s">
        <v>7216</v>
      </c>
    </row>
    <row r="408" spans="1:23" ht="26.25" hidden="1" customHeight="1">
      <c r="A408" s="116"/>
      <c r="B408" s="89"/>
      <c r="C408" s="104" t="s">
        <v>7319</v>
      </c>
      <c r="D408" s="106" t="s">
        <v>7015</v>
      </c>
      <c r="E408" s="89"/>
      <c r="F408" s="261"/>
      <c r="G408" s="116"/>
      <c r="H408" s="143"/>
      <c r="I408" s="267"/>
      <c r="J408" s="104" t="s">
        <v>7043</v>
      </c>
      <c r="K408" s="264"/>
      <c r="L408" s="104" t="s">
        <v>7273</v>
      </c>
      <c r="M408" s="264"/>
      <c r="N408" s="259"/>
      <c r="O408" s="270"/>
      <c r="P408" s="270"/>
      <c r="Q408" s="104" t="s">
        <v>7611</v>
      </c>
      <c r="R408" s="266"/>
      <c r="S408" s="196"/>
      <c r="T408" s="107" t="s">
        <v>7365</v>
      </c>
      <c r="U408" s="261"/>
      <c r="V408" s="238"/>
      <c r="W408" s="104" t="s">
        <v>7182</v>
      </c>
    </row>
    <row r="409" spans="1:23" ht="26.25" hidden="1" customHeight="1">
      <c r="A409" s="143"/>
      <c r="B409" s="89"/>
      <c r="C409" s="104" t="s">
        <v>7331</v>
      </c>
      <c r="D409" s="106" t="s">
        <v>7016</v>
      </c>
      <c r="E409" s="230"/>
      <c r="F409"/>
      <c r="G409" s="116"/>
      <c r="H409" s="112"/>
      <c r="I409" s="267"/>
      <c r="J409" s="104" t="s">
        <v>7054</v>
      </c>
      <c r="K409" s="270"/>
      <c r="L409" s="108" t="s">
        <v>7274</v>
      </c>
      <c r="M409" s="264"/>
      <c r="N409" s="261"/>
      <c r="O409" s="261"/>
      <c r="P409" s="270"/>
      <c r="Q409" s="104" t="s">
        <v>7619</v>
      </c>
      <c r="R409" s="268"/>
      <c r="S409" s="236"/>
      <c r="T409" s="114" t="s">
        <v>7388</v>
      </c>
      <c r="U409" s="261"/>
      <c r="V409" s="256"/>
      <c r="W409" s="104" t="s">
        <v>7224</v>
      </c>
    </row>
    <row r="410" spans="1:23" ht="26.25" hidden="1" customHeight="1">
      <c r="A410" s="246"/>
      <c r="B410" s="116"/>
      <c r="C410" s="109" t="s">
        <v>7354</v>
      </c>
      <c r="D410" s="106" t="s">
        <v>7029</v>
      </c>
      <c r="E410" s="231"/>
      <c r="F410" s="261"/>
      <c r="G410" s="116"/>
      <c r="H410" s="112"/>
      <c r="I410" s="267"/>
      <c r="J410" s="104" t="s">
        <v>7077</v>
      </c>
      <c r="K410" s="270"/>
      <c r="L410" s="108" t="s">
        <v>7275</v>
      </c>
      <c r="M410" s="264"/>
      <c r="N410" s="261"/>
      <c r="O410" s="261"/>
      <c r="P410" s="116"/>
      <c r="Q410" s="104" t="s">
        <v>7629</v>
      </c>
      <c r="R410" s="268"/>
      <c r="S410" s="238"/>
      <c r="T410" s="107" t="s">
        <v>7478</v>
      </c>
      <c r="U410" s="266"/>
      <c r="V410" s="256"/>
      <c r="W410" s="108" t="s">
        <v>7241</v>
      </c>
    </row>
    <row r="411" spans="1:23" ht="26.25" hidden="1" customHeight="1">
      <c r="A411" s="133"/>
      <c r="B411" s="143"/>
      <c r="C411" s="104" t="s">
        <v>7443</v>
      </c>
      <c r="D411" s="106" t="s">
        <v>7030</v>
      </c>
      <c r="E411" s="116"/>
      <c r="F411" s="265"/>
      <c r="G411" s="116"/>
      <c r="H411" s="112"/>
      <c r="I411" s="267"/>
      <c r="J411" s="104" t="s">
        <v>7095</v>
      </c>
      <c r="K411" s="270"/>
      <c r="L411" s="104" t="s">
        <v>7289</v>
      </c>
      <c r="M411" s="264"/>
      <c r="N411" s="261"/>
      <c r="O411" s="261"/>
      <c r="P411" s="89"/>
      <c r="Q411" s="270"/>
      <c r="R411" s="270"/>
      <c r="S411" s="116"/>
      <c r="T411" s="104" t="s">
        <v>7490</v>
      </c>
      <c r="U411" s="266"/>
      <c r="V411" s="256"/>
      <c r="W411" s="104" t="s">
        <v>7242</v>
      </c>
    </row>
    <row r="412" spans="1:23" ht="26.25" hidden="1" customHeight="1">
      <c r="A412" s="250"/>
      <c r="B412" s="258"/>
      <c r="C412" s="132" t="s">
        <v>7454</v>
      </c>
      <c r="D412" s="104" t="s">
        <v>7051</v>
      </c>
      <c r="E412" s="233"/>
      <c r="F412" s="259"/>
      <c r="G412" s="116"/>
      <c r="H412" s="112"/>
      <c r="I412" s="259"/>
      <c r="J412" s="104" t="s">
        <v>7096</v>
      </c>
      <c r="K412" s="270"/>
      <c r="L412" s="108" t="s">
        <v>7290</v>
      </c>
      <c r="M412" s="269"/>
      <c r="N412" s="261"/>
      <c r="O412" s="261"/>
      <c r="P412" s="212"/>
      <c r="Q412" s="270"/>
      <c r="R412" s="270"/>
      <c r="S412" s="238"/>
      <c r="T412" s="104" t="s">
        <v>7542</v>
      </c>
      <c r="U412" s="266"/>
      <c r="V412" s="256"/>
      <c r="W412" s="104" t="s">
        <v>7314</v>
      </c>
    </row>
    <row r="413" spans="1:23" ht="26.25" hidden="1" customHeight="1">
      <c r="A413" s="246"/>
      <c r="B413" s="246"/>
      <c r="C413" s="108" t="s">
        <v>7599</v>
      </c>
      <c r="D413" s="109" t="s">
        <v>7568</v>
      </c>
      <c r="E413" s="116"/>
      <c r="F413" s="112"/>
      <c r="G413" s="116"/>
      <c r="H413" s="112"/>
      <c r="I413" s="89"/>
      <c r="J413" s="104" t="s">
        <v>7101</v>
      </c>
      <c r="K413" s="270"/>
      <c r="L413" s="104" t="s">
        <v>7323</v>
      </c>
      <c r="M413" s="143"/>
      <c r="N413" s="261"/>
      <c r="O413" s="261"/>
      <c r="P413" s="143"/>
      <c r="Q413" s="270"/>
      <c r="R413" s="270"/>
      <c r="S413" s="116"/>
      <c r="T413" s="104" t="s">
        <v>7558</v>
      </c>
      <c r="U413" s="266"/>
      <c r="V413" s="116"/>
      <c r="W413" s="104" t="s">
        <v>7366</v>
      </c>
    </row>
    <row r="414" spans="1:23" ht="26.25" hidden="1" customHeight="1">
      <c r="A414" s="246"/>
      <c r="B414" s="246"/>
      <c r="C414" s="269"/>
      <c r="D414" s="109"/>
      <c r="E414" s="233"/>
      <c r="F414" s="176"/>
      <c r="G414" s="112"/>
      <c r="H414" s="112"/>
      <c r="I414" s="268"/>
      <c r="J414" s="109" t="s">
        <v>7110</v>
      </c>
      <c r="K414" s="143"/>
      <c r="L414" s="104" t="s">
        <v>7330</v>
      </c>
      <c r="M414" s="269"/>
      <c r="N414" s="263"/>
      <c r="O414" s="270"/>
      <c r="P414" s="143"/>
      <c r="Q414" s="143"/>
      <c r="R414" s="270"/>
      <c r="S414" s="116"/>
      <c r="T414" s="107" t="s">
        <v>7575</v>
      </c>
      <c r="U414" s="266"/>
      <c r="V414" s="233"/>
      <c r="W414" s="104" t="s">
        <v>7389</v>
      </c>
    </row>
    <row r="415" spans="1:23" ht="26.25" hidden="1" customHeight="1">
      <c r="A415" s="89"/>
      <c r="B415" s="89"/>
      <c r="C415" s="116"/>
      <c r="D415" s="233"/>
      <c r="E415" s="232"/>
      <c r="F415" s="259"/>
      <c r="G415" s="153"/>
      <c r="H415" s="112"/>
      <c r="I415" s="228"/>
      <c r="J415" s="109" t="s">
        <v>7114</v>
      </c>
      <c r="K415" s="144"/>
      <c r="L415" s="108" t="s">
        <v>7359</v>
      </c>
      <c r="M415" s="89"/>
      <c r="N415" s="269"/>
      <c r="O415" s="270"/>
      <c r="P415" s="212"/>
      <c r="Q415" s="268"/>
      <c r="R415" s="270"/>
      <c r="S415" s="116"/>
      <c r="T415" s="104" t="s">
        <v>7590</v>
      </c>
      <c r="U415" s="270"/>
      <c r="V415" s="233"/>
      <c r="W415" s="104" t="s">
        <v>7335</v>
      </c>
    </row>
    <row r="416" spans="1:23" ht="26.25" hidden="1" customHeight="1">
      <c r="A416" s="89"/>
      <c r="B416" s="89"/>
      <c r="C416" s="251"/>
      <c r="D416" s="233"/>
      <c r="E416" s="232"/>
      <c r="F416" s="116"/>
      <c r="G416" s="116"/>
      <c r="H416" s="112"/>
      <c r="I416" s="228"/>
      <c r="J416" s="104" t="s">
        <v>7161</v>
      </c>
      <c r="K416" s="258"/>
      <c r="L416" s="108" t="s">
        <v>7360</v>
      </c>
      <c r="M416" s="143"/>
      <c r="N416" s="269"/>
      <c r="O416" s="270"/>
      <c r="P416" s="262"/>
      <c r="Q416" s="268"/>
      <c r="R416" s="265"/>
      <c r="S416" s="116"/>
      <c r="T416" s="106" t="s">
        <v>7613</v>
      </c>
      <c r="U416" s="270"/>
      <c r="V416" s="233"/>
      <c r="W416" s="104" t="s">
        <v>7403</v>
      </c>
    </row>
    <row r="417" spans="1:23" ht="26.25" hidden="1" customHeight="1">
      <c r="A417" s="133"/>
      <c r="B417" s="116"/>
      <c r="C417" s="268"/>
      <c r="D417" s="143"/>
      <c r="E417" s="234"/>
      <c r="F417" s="116"/>
      <c r="G417" s="116"/>
      <c r="H417" s="112"/>
      <c r="I417" s="228"/>
      <c r="J417" s="104" t="s">
        <v>7187</v>
      </c>
      <c r="K417" s="270"/>
      <c r="L417" s="108" t="s">
        <v>7361</v>
      </c>
      <c r="M417" s="270"/>
      <c r="N417" s="269"/>
      <c r="O417" s="143"/>
      <c r="P417" s="262"/>
      <c r="Q417" s="262"/>
      <c r="R417" s="265"/>
      <c r="S417" s="116"/>
      <c r="T417" s="104" t="s">
        <v>7614</v>
      </c>
      <c r="U417" s="270"/>
      <c r="V417" s="233"/>
      <c r="W417" s="104" t="s">
        <v>7543</v>
      </c>
    </row>
    <row r="418" spans="1:23" ht="26.25" hidden="1" customHeight="1">
      <c r="A418" s="245"/>
      <c r="B418" s="89"/>
      <c r="C418" s="268"/>
      <c r="D418" s="234"/>
      <c r="E418" s="235"/>
      <c r="F418" s="116"/>
      <c r="G418" s="116"/>
      <c r="H418" s="112"/>
      <c r="I418" s="228"/>
      <c r="J418" s="109" t="s">
        <v>7186</v>
      </c>
      <c r="K418" s="269"/>
      <c r="L418" s="104" t="s">
        <v>7385</v>
      </c>
      <c r="M418" s="269"/>
      <c r="N418" s="269"/>
      <c r="O418" s="266"/>
      <c r="P418" s="212"/>
      <c r="Q418" s="264"/>
      <c r="R418" s="265"/>
      <c r="S418" s="116"/>
      <c r="T418" s="104"/>
      <c r="U418" s="270"/>
      <c r="V418" s="233"/>
      <c r="W418" s="104" t="s">
        <v>7559</v>
      </c>
    </row>
    <row r="419" spans="1:23" ht="26.25" hidden="1" customHeight="1">
      <c r="A419" s="89"/>
      <c r="B419" s="246"/>
      <c r="C419" s="268"/>
      <c r="D419" s="234"/>
      <c r="E419" s="235"/>
      <c r="F419" s="116"/>
      <c r="G419" s="116"/>
      <c r="H419" s="112"/>
      <c r="I419" s="228"/>
      <c r="J419" s="109" t="s">
        <v>7185</v>
      </c>
      <c r="K419" s="267"/>
      <c r="L419" s="104" t="s">
        <v>7393</v>
      </c>
      <c r="M419" s="89"/>
      <c r="N419" s="269"/>
      <c r="O419" s="268"/>
      <c r="P419" s="143"/>
      <c r="Q419" s="264"/>
      <c r="R419" s="266"/>
      <c r="S419" s="116"/>
      <c r="T419" s="266"/>
      <c r="U419" s="270"/>
      <c r="V419" s="233"/>
      <c r="W419" s="104" t="s">
        <v>7576</v>
      </c>
    </row>
    <row r="420" spans="1:23" ht="26.25" hidden="1" customHeight="1">
      <c r="A420" s="89"/>
      <c r="B420" s="246"/>
      <c r="C420" s="268"/>
      <c r="D420" s="116"/>
      <c r="E420" s="116"/>
      <c r="F420" s="116"/>
      <c r="G420" s="116"/>
      <c r="H420" s="112"/>
      <c r="I420" s="270"/>
      <c r="J420" s="104" t="s">
        <v>7190</v>
      </c>
      <c r="K420" s="270"/>
      <c r="L420" s="104" t="s">
        <v>7394</v>
      </c>
      <c r="M420" s="143"/>
      <c r="N420" s="269"/>
      <c r="O420" s="89"/>
      <c r="P420" s="89"/>
      <c r="Q420" s="264"/>
      <c r="R420" s="265"/>
      <c r="S420" s="116"/>
      <c r="T420" s="266"/>
      <c r="U420" s="143"/>
      <c r="V420" s="89"/>
      <c r="W420" s="104" t="s">
        <v>7592</v>
      </c>
    </row>
    <row r="421" spans="1:23" ht="26.25" hidden="1" customHeight="1">
      <c r="A421" s="258"/>
      <c r="B421" s="260"/>
      <c r="C421" s="260"/>
      <c r="D421" s="116"/>
      <c r="E421" s="116"/>
      <c r="F421" s="116"/>
      <c r="G421" s="116"/>
      <c r="H421" s="116"/>
      <c r="I421" s="270"/>
      <c r="J421" s="109" t="s">
        <v>7206</v>
      </c>
      <c r="K421" s="252"/>
      <c r="L421" s="108" t="s">
        <v>7400</v>
      </c>
      <c r="M421" s="251"/>
      <c r="N421" s="254"/>
      <c r="O421" s="270"/>
      <c r="P421" s="116"/>
      <c r="Q421" s="143"/>
      <c r="R421" s="266"/>
      <c r="S421" s="89"/>
      <c r="T421" s="266"/>
      <c r="U421" s="89"/>
      <c r="V421" s="89"/>
      <c r="W421" s="104" t="s">
        <v>7600</v>
      </c>
    </row>
    <row r="422" spans="1:23" ht="26.25" hidden="1" customHeight="1">
      <c r="A422" s="89"/>
      <c r="B422" s="246"/>
      <c r="C422" s="143"/>
      <c r="D422" s="116"/>
      <c r="E422" s="116"/>
      <c r="F422" s="116"/>
      <c r="G422" s="116"/>
      <c r="H422" s="116"/>
      <c r="I422" s="270"/>
      <c r="J422" s="129" t="s">
        <v>7213</v>
      </c>
      <c r="K422" s="228"/>
      <c r="L422" s="104" t="s">
        <v>7445</v>
      </c>
      <c r="M422" s="116"/>
      <c r="N422" s="254"/>
      <c r="O422" s="270"/>
      <c r="P422" s="116"/>
      <c r="Q422" s="116"/>
      <c r="R422" s="270"/>
      <c r="S422" s="89"/>
      <c r="T422" s="266"/>
      <c r="U422" s="264"/>
      <c r="V422" s="89"/>
      <c r="W422" s="104" t="s">
        <v>7596</v>
      </c>
    </row>
    <row r="423" spans="1:23" ht="26.25" hidden="1" customHeight="1">
      <c r="A423" s="248"/>
      <c r="B423" s="248"/>
      <c r="C423" s="143"/>
      <c r="D423" s="116"/>
      <c r="E423" s="116"/>
      <c r="F423" s="238"/>
      <c r="G423" s="238"/>
      <c r="H423" s="112"/>
      <c r="I423" s="270"/>
      <c r="J423" s="104" t="s">
        <v>7226</v>
      </c>
      <c r="K423" s="225"/>
      <c r="L423" s="104" t="s">
        <v>7412</v>
      </c>
      <c r="M423" s="89"/>
      <c r="N423" s="254"/>
      <c r="O423" s="270"/>
      <c r="P423" s="268"/>
      <c r="Q423" s="268"/>
      <c r="R423" s="89"/>
      <c r="S423" s="89"/>
      <c r="T423" s="266"/>
      <c r="U423" s="264"/>
      <c r="V423" s="89"/>
      <c r="W423" s="104" t="s">
        <v>7633</v>
      </c>
    </row>
    <row r="424" spans="1:23" ht="26.25" hidden="1" customHeight="1">
      <c r="A424" s="248"/>
      <c r="B424" s="248"/>
      <c r="C424" s="263"/>
      <c r="D424" s="116"/>
      <c r="E424" s="116"/>
      <c r="F424" s="238"/>
      <c r="G424" s="238"/>
      <c r="H424" s="112"/>
      <c r="I424" s="270"/>
      <c r="J424" s="109" t="s">
        <v>7287</v>
      </c>
      <c r="K424" s="225"/>
      <c r="L424" s="104" t="s">
        <v>7413</v>
      </c>
      <c r="M424" s="89"/>
      <c r="N424" s="266"/>
      <c r="O424" s="116"/>
      <c r="P424" s="268"/>
      <c r="Q424" s="268"/>
      <c r="R424" s="89"/>
      <c r="S424" s="89"/>
      <c r="T424" s="266"/>
      <c r="U424" s="264"/>
      <c r="V424" s="89"/>
      <c r="W424" s="270"/>
    </row>
    <row r="425" spans="1:23" ht="26.25" hidden="1" customHeight="1">
      <c r="A425" s="248"/>
      <c r="B425" s="248"/>
      <c r="C425" s="143"/>
      <c r="D425" s="116"/>
      <c r="E425" s="116"/>
      <c r="F425" s="238"/>
      <c r="G425" s="238"/>
      <c r="H425" s="112"/>
      <c r="I425" s="89"/>
      <c r="J425" s="106" t="s">
        <v>7295</v>
      </c>
      <c r="K425" s="225"/>
      <c r="L425" s="104" t="s">
        <v>7458</v>
      </c>
      <c r="M425" s="253"/>
      <c r="N425" s="266"/>
      <c r="O425" s="258"/>
      <c r="P425" s="268"/>
      <c r="Q425" s="268"/>
      <c r="R425" s="89"/>
      <c r="S425" s="89"/>
      <c r="T425" s="112"/>
      <c r="U425" s="264"/>
      <c r="V425" s="89"/>
      <c r="W425" s="270"/>
    </row>
    <row r="426" spans="1:23" ht="26.25" hidden="1" customHeight="1">
      <c r="A426" s="248"/>
      <c r="B426" s="248"/>
      <c r="C426" s="258"/>
      <c r="D426" s="116"/>
      <c r="E426" s="116"/>
      <c r="F426" s="238"/>
      <c r="G426" s="238"/>
      <c r="H426" s="112"/>
      <c r="I426" s="89"/>
      <c r="J426" s="104" t="s">
        <v>7299</v>
      </c>
      <c r="K426" s="248"/>
      <c r="L426" s="125" t="s">
        <v>7486</v>
      </c>
      <c r="M426" s="252"/>
      <c r="N426" s="268"/>
      <c r="O426" s="258"/>
      <c r="P426" s="268"/>
      <c r="Q426" s="268"/>
      <c r="R426" s="89"/>
      <c r="S426" s="89"/>
      <c r="T426" s="89"/>
      <c r="U426" s="116"/>
      <c r="V426" s="89"/>
      <c r="W426" s="270"/>
    </row>
    <row r="427" spans="1:23" ht="26.25" hidden="1" customHeight="1">
      <c r="A427" s="249"/>
      <c r="B427" s="248"/>
      <c r="C427" s="116"/>
      <c r="D427" s="116"/>
      <c r="E427" s="116"/>
      <c r="F427" s="238"/>
      <c r="G427" s="238"/>
      <c r="H427" s="112"/>
      <c r="I427" s="89"/>
      <c r="J427" s="108" t="s">
        <v>7315</v>
      </c>
      <c r="K427" s="89"/>
      <c r="L427" s="104"/>
      <c r="M427" s="89"/>
      <c r="N427" s="270"/>
      <c r="O427" s="144"/>
      <c r="P427" s="143"/>
      <c r="Q427" s="268"/>
      <c r="R427" s="89"/>
      <c r="S427" s="89"/>
      <c r="T427" s="89"/>
      <c r="U427" s="261"/>
      <c r="V427" s="89"/>
      <c r="W427" s="270"/>
    </row>
    <row r="428" spans="1:23" ht="26.25" hidden="1" customHeight="1">
      <c r="A428" s="249"/>
      <c r="B428" s="248"/>
      <c r="C428" s="116"/>
      <c r="D428" s="116"/>
      <c r="E428" s="116"/>
      <c r="F428" s="238"/>
      <c r="G428" s="264"/>
      <c r="H428" s="112"/>
      <c r="I428" s="228"/>
      <c r="J428" s="108" t="s">
        <v>7317</v>
      </c>
      <c r="K428" s="89"/>
      <c r="L428" s="256"/>
      <c r="M428" s="89"/>
      <c r="N428" s="270"/>
      <c r="O428" s="89"/>
      <c r="P428" s="268"/>
      <c r="Q428" s="268"/>
      <c r="R428" s="89"/>
      <c r="S428" s="244"/>
      <c r="T428" s="89"/>
      <c r="U428" s="264"/>
      <c r="V428" s="244"/>
      <c r="W428" s="266"/>
    </row>
    <row r="429" spans="1:23" ht="26.25" hidden="1" customHeight="1">
      <c r="A429" s="261"/>
      <c r="B429" s="261"/>
      <c r="C429" s="116"/>
      <c r="D429" s="116"/>
      <c r="E429" s="116"/>
      <c r="F429" s="89"/>
      <c r="G429" s="264"/>
      <c r="H429" s="112"/>
      <c r="I429" s="227"/>
      <c r="J429" s="108" t="s">
        <v>7318</v>
      </c>
      <c r="K429" s="89"/>
      <c r="L429" s="256"/>
      <c r="M429" s="89"/>
      <c r="N429" s="89"/>
      <c r="O429" s="260"/>
      <c r="P429" s="116"/>
      <c r="Q429" s="143"/>
      <c r="R429" s="89"/>
      <c r="S429" s="270"/>
      <c r="T429" s="264"/>
      <c r="U429" s="261"/>
      <c r="V429" s="244"/>
      <c r="W429" s="266"/>
    </row>
    <row r="430" spans="1:23" ht="26.25" hidden="1" customHeight="1">
      <c r="A430" s="261"/>
      <c r="B430" s="261"/>
      <c r="C430" s="116"/>
      <c r="D430" s="116"/>
      <c r="E430" s="116"/>
      <c r="F430" s="89"/>
      <c r="G430" s="264"/>
      <c r="H430" s="112"/>
      <c r="I430" s="89"/>
      <c r="J430" s="104" t="s">
        <v>7316</v>
      </c>
      <c r="K430" s="89"/>
      <c r="L430" s="262"/>
      <c r="M430" s="262"/>
      <c r="N430" s="89"/>
      <c r="O430" s="260"/>
      <c r="P430" s="116"/>
      <c r="Q430" s="116"/>
      <c r="R430" s="89"/>
      <c r="S430" s="270"/>
      <c r="T430" s="264"/>
      <c r="U430" s="261"/>
      <c r="V430" s="244"/>
      <c r="W430" s="266"/>
    </row>
    <row r="431" spans="1:23" ht="26.25" hidden="1" customHeight="1">
      <c r="A431" s="261"/>
      <c r="B431" s="261"/>
      <c r="C431" s="116"/>
      <c r="D431" s="236"/>
      <c r="E431" s="89"/>
      <c r="F431" s="89"/>
      <c r="G431" s="264"/>
      <c r="H431" s="112"/>
      <c r="I431" s="89"/>
      <c r="J431" s="104" t="s">
        <v>7321</v>
      </c>
      <c r="K431" s="251"/>
      <c r="L431" s="262"/>
      <c r="M431" s="262"/>
      <c r="N431" s="89"/>
      <c r="O431" s="89"/>
      <c r="P431" s="89"/>
      <c r="Q431" s="89"/>
      <c r="R431" s="89"/>
      <c r="S431" s="268"/>
      <c r="T431" s="264"/>
      <c r="U431" s="261"/>
      <c r="V431" s="244"/>
      <c r="W431" s="266"/>
    </row>
    <row r="432" spans="1:23" ht="26.25" hidden="1" customHeight="1">
      <c r="A432" s="261"/>
      <c r="B432" s="261"/>
      <c r="C432" s="116"/>
      <c r="D432" s="236"/>
      <c r="E432" s="89"/>
      <c r="F432" s="89"/>
      <c r="G432" s="264"/>
      <c r="H432" s="112"/>
      <c r="I432" s="89"/>
      <c r="J432" s="104" t="s">
        <v>7332</v>
      </c>
      <c r="K432" s="251"/>
      <c r="L432" s="262"/>
      <c r="M432" s="262"/>
      <c r="N432" s="89"/>
      <c r="O432" s="89"/>
      <c r="P432" s="89"/>
      <c r="Q432" s="89"/>
      <c r="R432" s="89"/>
      <c r="S432" s="270"/>
      <c r="T432" s="244"/>
      <c r="U432" s="244"/>
      <c r="V432" s="244"/>
      <c r="W432" s="266"/>
    </row>
    <row r="433" spans="1:23" ht="26.25" hidden="1" customHeight="1">
      <c r="A433" s="261"/>
      <c r="B433" s="261"/>
      <c r="C433" s="116"/>
      <c r="D433" s="236"/>
      <c r="E433" s="89"/>
      <c r="F433" s="89"/>
      <c r="G433" s="238"/>
      <c r="H433" s="112"/>
      <c r="I433" s="89"/>
      <c r="J433" s="104" t="s">
        <v>7357</v>
      </c>
      <c r="K433" s="251"/>
      <c r="L433" s="262"/>
      <c r="M433" s="262"/>
      <c r="N433" s="89"/>
      <c r="O433" s="89"/>
      <c r="P433" s="89"/>
      <c r="Q433" s="89"/>
      <c r="R433" s="89"/>
      <c r="S433" s="268"/>
      <c r="T433" s="116"/>
      <c r="U433" s="244"/>
      <c r="V433" s="270"/>
      <c r="W433" s="247"/>
    </row>
    <row r="434" spans="1:23" ht="26.25" hidden="1" customHeight="1">
      <c r="A434" s="249"/>
      <c r="B434" s="89"/>
      <c r="C434" s="116"/>
      <c r="D434" s="236"/>
      <c r="E434" s="89"/>
      <c r="F434" s="89"/>
      <c r="G434" s="238"/>
      <c r="H434" s="112"/>
      <c r="I434" s="89"/>
      <c r="J434" s="104" t="s">
        <v>7369</v>
      </c>
      <c r="K434" s="251"/>
      <c r="L434" s="262"/>
      <c r="M434" s="262"/>
      <c r="N434" s="89"/>
      <c r="O434" s="270"/>
      <c r="P434" s="270"/>
      <c r="Q434" s="270"/>
      <c r="R434" s="89"/>
      <c r="S434" s="270"/>
      <c r="T434" s="261"/>
      <c r="U434" s="89"/>
      <c r="V434" s="270"/>
      <c r="W434" s="246"/>
    </row>
    <row r="435" spans="1:23" ht="26.25" hidden="1" customHeight="1">
      <c r="A435" s="249"/>
      <c r="B435" s="89"/>
      <c r="C435" s="116"/>
      <c r="D435" s="236"/>
      <c r="E435" s="89"/>
      <c r="F435" s="89"/>
      <c r="G435" s="238"/>
      <c r="H435" s="112"/>
      <c r="I435" s="89"/>
      <c r="J435" s="109" t="s">
        <v>7384</v>
      </c>
      <c r="K435" s="251"/>
      <c r="L435" s="262"/>
      <c r="M435" s="262"/>
      <c r="N435" s="89"/>
      <c r="O435" s="270"/>
      <c r="P435" s="270"/>
      <c r="Q435" s="270"/>
      <c r="R435" s="89"/>
      <c r="S435" s="266"/>
      <c r="T435" s="261"/>
      <c r="U435" s="89"/>
      <c r="V435" s="270"/>
      <c r="W435" s="246"/>
    </row>
    <row r="436" spans="1:23" ht="26.25" hidden="1" customHeight="1">
      <c r="A436" s="89"/>
      <c r="B436" s="89"/>
      <c r="C436" s="89"/>
      <c r="D436" s="236"/>
      <c r="E436" s="89"/>
      <c r="F436" s="89"/>
      <c r="G436" s="239"/>
      <c r="H436" s="112"/>
      <c r="I436" s="89"/>
      <c r="J436" s="104" t="s">
        <v>7484</v>
      </c>
      <c r="K436" s="251"/>
      <c r="L436" s="254" t="s">
        <v>7638</v>
      </c>
      <c r="M436" s="89"/>
      <c r="N436" s="89"/>
      <c r="O436" s="270"/>
      <c r="P436" s="270"/>
      <c r="Q436" s="270"/>
      <c r="R436" s="89"/>
      <c r="S436" s="261"/>
      <c r="T436" s="261"/>
      <c r="U436" s="89"/>
      <c r="V436" s="270"/>
      <c r="W436" s="246"/>
    </row>
    <row r="437" spans="1:23" ht="26.25" hidden="1" customHeight="1">
      <c r="A437" s="89"/>
      <c r="B437" s="89"/>
      <c r="C437" s="89"/>
      <c r="D437" s="235"/>
      <c r="E437" s="89"/>
      <c r="F437" s="89"/>
      <c r="G437" s="89"/>
      <c r="H437" s="112"/>
      <c r="I437" s="89"/>
      <c r="J437" s="104" t="s">
        <v>7571</v>
      </c>
      <c r="K437" s="251"/>
      <c r="L437" s="266" t="s">
        <v>7622</v>
      </c>
      <c r="M437" s="253"/>
      <c r="N437" s="89"/>
      <c r="O437" s="270"/>
      <c r="P437" s="270"/>
      <c r="Q437" s="270"/>
      <c r="R437" s="89"/>
      <c r="S437" s="261"/>
      <c r="T437" s="261"/>
      <c r="U437" s="89"/>
      <c r="V437" s="270"/>
      <c r="W437" s="143"/>
    </row>
    <row r="438" spans="1:23" ht="26.25" hidden="1" customHeight="1">
      <c r="A438" s="89"/>
      <c r="B438" s="89"/>
      <c r="C438" s="89"/>
      <c r="D438" s="234"/>
      <c r="E438" s="89"/>
      <c r="F438" s="89"/>
      <c r="G438" s="89"/>
      <c r="H438" s="112"/>
      <c r="I438" s="89"/>
      <c r="J438" s="132" t="s">
        <v>7609</v>
      </c>
      <c r="K438" s="89"/>
      <c r="L438" s="266" t="s">
        <v>7660</v>
      </c>
      <c r="M438" s="253"/>
      <c r="N438" s="89"/>
      <c r="O438" s="270"/>
      <c r="P438" s="270"/>
      <c r="Q438" s="270"/>
      <c r="R438" s="89"/>
      <c r="S438" s="89"/>
      <c r="T438" s="89"/>
      <c r="U438" s="89"/>
      <c r="V438" s="270"/>
      <c r="W438" s="244"/>
    </row>
    <row r="439" spans="1:23" ht="26.25" hidden="1" customHeight="1">
      <c r="A439" s="89"/>
      <c r="B439" s="89"/>
      <c r="C439" s="89"/>
      <c r="D439" s="234"/>
      <c r="E439" s="89"/>
      <c r="F439" s="89"/>
      <c r="G439" s="89"/>
      <c r="H439" s="112"/>
      <c r="I439" s="89"/>
      <c r="J439" s="108" t="s">
        <v>7625</v>
      </c>
      <c r="K439" s="89"/>
      <c r="L439" s="268" t="s">
        <v>7551</v>
      </c>
      <c r="M439" s="253"/>
      <c r="N439" s="89"/>
      <c r="O439" s="270"/>
      <c r="P439" s="270"/>
      <c r="Q439" s="270"/>
      <c r="R439" s="89"/>
      <c r="S439" s="89"/>
      <c r="T439" s="265"/>
      <c r="U439" s="89"/>
      <c r="V439" s="270"/>
      <c r="W439" s="89"/>
    </row>
    <row r="440" spans="1:23" ht="26.25" hidden="1" customHeight="1">
      <c r="A440" s="89"/>
      <c r="B440" s="89"/>
      <c r="C440" s="89"/>
      <c r="D440" s="89"/>
      <c r="E440" s="89"/>
      <c r="F440" s="89"/>
      <c r="G440" s="89"/>
      <c r="H440" s="112"/>
      <c r="I440" s="89"/>
      <c r="J440" s="108" t="s">
        <v>7628</v>
      </c>
      <c r="K440" s="89"/>
      <c r="L440" s="257"/>
      <c r="M440" s="253"/>
      <c r="N440" s="89"/>
      <c r="O440" s="89"/>
      <c r="P440" s="89"/>
      <c r="Q440" s="270"/>
      <c r="R440" s="89"/>
      <c r="S440" s="89"/>
      <c r="T440" s="265"/>
      <c r="U440" s="89"/>
      <c r="V440" s="89"/>
      <c r="W440" s="270"/>
    </row>
    <row r="441" spans="1:23" ht="26.25" hidden="1" customHeight="1">
      <c r="A441" s="89"/>
      <c r="B441" s="89"/>
      <c r="C441" s="89"/>
      <c r="D441" s="89"/>
      <c r="E441" s="89"/>
      <c r="F441" s="89"/>
      <c r="G441" s="89"/>
      <c r="H441" s="112"/>
      <c r="I441" s="89"/>
      <c r="J441" s="108" t="s">
        <v>7626</v>
      </c>
      <c r="K441" s="89"/>
      <c r="L441" s="257"/>
      <c r="M441" s="253"/>
      <c r="N441" s="89"/>
      <c r="O441" s="89"/>
      <c r="P441" s="89"/>
      <c r="Q441" s="270"/>
      <c r="R441" s="89"/>
      <c r="S441" s="89"/>
      <c r="T441" s="265"/>
      <c r="U441" s="89"/>
      <c r="V441" s="89"/>
      <c r="W441" s="89"/>
    </row>
    <row r="442" spans="1:23" s="111" customFormat="1" ht="26.25" hidden="1" customHeight="1">
      <c r="A442" s="110"/>
      <c r="B442" s="110"/>
      <c r="C442" s="110"/>
      <c r="D442" s="110"/>
      <c r="E442" s="110"/>
      <c r="F442" s="110"/>
      <c r="G442" s="110"/>
      <c r="H442" s="113"/>
      <c r="I442" s="110"/>
      <c r="J442" s="214" t="s">
        <v>7663</v>
      </c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</row>
    <row r="443" spans="1:23" ht="26.25" customHeight="1">
      <c r="A443" s="108" t="s">
        <v>7926</v>
      </c>
      <c r="B443" s="108" t="s">
        <v>7902</v>
      </c>
      <c r="C443" s="108" t="s">
        <v>7903</v>
      </c>
      <c r="D443" s="109" t="s">
        <v>7774</v>
      </c>
      <c r="E443" s="109" t="s">
        <v>7774</v>
      </c>
      <c r="F443" s="109" t="s">
        <v>7906</v>
      </c>
      <c r="G443" s="109" t="s">
        <v>7906</v>
      </c>
      <c r="H443" s="109" t="s">
        <v>7855</v>
      </c>
      <c r="I443" s="108" t="s">
        <v>7884</v>
      </c>
      <c r="J443" s="108" t="s">
        <v>7668</v>
      </c>
      <c r="K443" s="104" t="s">
        <v>7659</v>
      </c>
      <c r="L443" s="104" t="s">
        <v>7555</v>
      </c>
      <c r="M443" s="104" t="s">
        <v>7556</v>
      </c>
      <c r="N443" s="104" t="s">
        <v>7656</v>
      </c>
      <c r="O443" s="108" t="s">
        <v>7672</v>
      </c>
      <c r="P443" s="109" t="s">
        <v>8096</v>
      </c>
      <c r="Q443" s="104" t="s">
        <v>7651</v>
      </c>
      <c r="R443" s="104" t="s">
        <v>7630</v>
      </c>
      <c r="S443" s="155" t="s">
        <v>5270</v>
      </c>
      <c r="T443" s="104" t="s">
        <v>7695</v>
      </c>
      <c r="U443" s="104" t="s">
        <v>7632</v>
      </c>
      <c r="V443" s="104" t="s">
        <v>7700</v>
      </c>
      <c r="W443" s="104" t="s">
        <v>7654</v>
      </c>
    </row>
    <row r="444" spans="1:23" ht="26.25" customHeight="1">
      <c r="A444" s="108" t="s">
        <v>7932</v>
      </c>
      <c r="B444" s="132" t="s">
        <v>8431</v>
      </c>
      <c r="C444" s="104" t="s">
        <v>7895</v>
      </c>
      <c r="D444" s="104" t="s">
        <v>7694</v>
      </c>
      <c r="E444" s="104" t="s">
        <v>7905</v>
      </c>
      <c r="F444" s="109" t="s">
        <v>8224</v>
      </c>
      <c r="G444" s="109" t="s">
        <v>8224</v>
      </c>
      <c r="H444" s="109" t="s">
        <v>8224</v>
      </c>
      <c r="I444" s="104" t="s">
        <v>7871</v>
      </c>
      <c r="J444" s="104" t="s">
        <v>7720</v>
      </c>
      <c r="K444" s="104" t="s">
        <v>7661</v>
      </c>
      <c r="L444" s="132" t="s">
        <v>7722</v>
      </c>
      <c r="M444" s="108" t="s">
        <v>7670</v>
      </c>
      <c r="N444" s="108" t="s">
        <v>7657</v>
      </c>
      <c r="O444" s="104" t="s">
        <v>7698</v>
      </c>
      <c r="P444" s="104" t="s">
        <v>8102</v>
      </c>
      <c r="Q444" s="104" t="s">
        <v>7652</v>
      </c>
      <c r="R444" s="104" t="s">
        <v>7725</v>
      </c>
      <c r="S444" s="109" t="s">
        <v>7617</v>
      </c>
      <c r="T444" s="104" t="s">
        <v>7755</v>
      </c>
      <c r="U444" s="109" t="s">
        <v>7675</v>
      </c>
      <c r="V444" s="106" t="s">
        <v>7710</v>
      </c>
      <c r="W444" s="104" t="s">
        <v>7655</v>
      </c>
    </row>
    <row r="445" spans="1:23" ht="26.25" customHeight="1">
      <c r="A445" s="106" t="s">
        <v>7958</v>
      </c>
      <c r="B445" s="144"/>
      <c r="C445" s="132" t="s">
        <v>8490</v>
      </c>
      <c r="D445" s="108" t="s">
        <v>7786</v>
      </c>
      <c r="E445" s="104" t="s">
        <v>7959</v>
      </c>
      <c r="F445" s="106" t="s">
        <v>5693</v>
      </c>
      <c r="G445" s="104" t="s">
        <v>8226</v>
      </c>
      <c r="H445" s="104" t="s">
        <v>8333</v>
      </c>
      <c r="I445" s="104" t="s">
        <v>7875</v>
      </c>
      <c r="J445" s="104" t="s">
        <v>7803</v>
      </c>
      <c r="K445" s="104" t="s">
        <v>7669</v>
      </c>
      <c r="L445" s="104" t="s">
        <v>7750</v>
      </c>
      <c r="M445" s="108" t="s">
        <v>7697</v>
      </c>
      <c r="N445" s="108" t="s">
        <v>7671</v>
      </c>
      <c r="O445" s="104" t="s">
        <v>7753</v>
      </c>
      <c r="P445" s="104" t="s">
        <v>8092</v>
      </c>
      <c r="Q445" s="104" t="s">
        <v>7673</v>
      </c>
      <c r="R445" s="104" t="s">
        <v>7754</v>
      </c>
      <c r="S445" s="104" t="s">
        <v>7618</v>
      </c>
      <c r="T445" s="104" t="s">
        <v>7711</v>
      </c>
      <c r="U445" s="104" t="s">
        <v>7807</v>
      </c>
      <c r="V445" s="104" t="s">
        <v>7854</v>
      </c>
      <c r="W445" s="104" t="s">
        <v>7701</v>
      </c>
    </row>
    <row r="446" spans="1:23" ht="26.25" customHeight="1">
      <c r="A446" s="109" t="s">
        <v>8003</v>
      </c>
      <c r="B446" s="89"/>
      <c r="C446" s="324" t="s">
        <v>8524</v>
      </c>
      <c r="D446" s="108" t="s">
        <v>7802</v>
      </c>
      <c r="E446" s="104" t="s">
        <v>7976</v>
      </c>
      <c r="F446" s="104" t="s">
        <v>8225</v>
      </c>
      <c r="G446" s="104" t="s">
        <v>8273</v>
      </c>
      <c r="H446" s="104" t="s">
        <v>8404</v>
      </c>
      <c r="I446" s="132" t="s">
        <v>7907</v>
      </c>
      <c r="J446" s="104" t="s">
        <v>7812</v>
      </c>
      <c r="K446" s="108" t="s">
        <v>7696</v>
      </c>
      <c r="L446" s="104" t="s">
        <v>7761</v>
      </c>
      <c r="M446" s="132" t="s">
        <v>7705</v>
      </c>
      <c r="N446" s="108" t="s">
        <v>7676</v>
      </c>
      <c r="O446" s="104" t="s">
        <v>7777</v>
      </c>
      <c r="P446" s="104" t="s">
        <v>8160</v>
      </c>
      <c r="Q446" s="109" t="s">
        <v>7992</v>
      </c>
      <c r="R446" s="109" t="s">
        <v>7730</v>
      </c>
      <c r="S446" s="104" t="s">
        <v>7674</v>
      </c>
      <c r="T446" s="104" t="s">
        <v>7780</v>
      </c>
      <c r="U446" s="104" t="s">
        <v>7784</v>
      </c>
      <c r="V446" s="106" t="s">
        <v>5270</v>
      </c>
      <c r="W446" s="104" t="s">
        <v>7715</v>
      </c>
    </row>
    <row r="447" spans="1:23" ht="26.25" customHeight="1">
      <c r="A447" s="109" t="s">
        <v>8138</v>
      </c>
      <c r="B447" s="89"/>
      <c r="C447" s="324" t="s">
        <v>8523</v>
      </c>
      <c r="D447" s="104" t="s">
        <v>7818</v>
      </c>
      <c r="E447" s="109" t="s">
        <v>8048</v>
      </c>
      <c r="F447" s="109" t="s">
        <v>8272</v>
      </c>
      <c r="G447" s="104" t="s">
        <v>8244</v>
      </c>
      <c r="H447" s="104" t="s">
        <v>8482</v>
      </c>
      <c r="I447" s="109" t="s">
        <v>7893</v>
      </c>
      <c r="J447" s="104" t="s">
        <v>7819</v>
      </c>
      <c r="K447" s="104" t="s">
        <v>7721</v>
      </c>
      <c r="L447" s="104" t="s">
        <v>7775</v>
      </c>
      <c r="M447" s="108" t="s">
        <v>7706</v>
      </c>
      <c r="N447" s="104" t="s">
        <v>7692</v>
      </c>
      <c r="O447" s="104" t="s">
        <v>7805</v>
      </c>
      <c r="P447" s="109" t="s">
        <v>8178</v>
      </c>
      <c r="Q447" s="108" t="s">
        <v>8000</v>
      </c>
      <c r="R447" s="104" t="s">
        <v>7778</v>
      </c>
      <c r="S447" s="104" t="s">
        <v>7699</v>
      </c>
      <c r="T447" s="104" t="s">
        <v>7791</v>
      </c>
      <c r="U447" s="104" t="s">
        <v>7825</v>
      </c>
      <c r="V447" s="104" t="s">
        <v>7963</v>
      </c>
      <c r="W447" s="106" t="s">
        <v>7723</v>
      </c>
    </row>
    <row r="448" spans="1:23" ht="26.25" customHeight="1">
      <c r="A448" s="104" t="s">
        <v>8145</v>
      </c>
      <c r="B448" s="89"/>
      <c r="C448" s="324"/>
      <c r="D448" s="104" t="s">
        <v>7831</v>
      </c>
      <c r="E448" s="104" t="s">
        <v>7999</v>
      </c>
      <c r="F448" s="108" t="s">
        <v>8503</v>
      </c>
      <c r="G448" s="104" t="s">
        <v>8292</v>
      </c>
      <c r="H448" s="324" t="s">
        <v>8483</v>
      </c>
      <c r="I448" s="108" t="s">
        <v>7894</v>
      </c>
      <c r="J448" s="108" t="s">
        <v>8002</v>
      </c>
      <c r="K448" s="104" t="s">
        <v>7749</v>
      </c>
      <c r="L448" s="108" t="s">
        <v>7990</v>
      </c>
      <c r="M448" s="109" t="s">
        <v>7751</v>
      </c>
      <c r="N448" s="104" t="s">
        <v>7752</v>
      </c>
      <c r="O448" s="104" t="s">
        <v>7783</v>
      </c>
      <c r="P448" s="104" t="s">
        <v>8185</v>
      </c>
      <c r="Q448" s="106" t="s">
        <v>7984</v>
      </c>
      <c r="R448" s="109" t="s">
        <v>7823</v>
      </c>
      <c r="S448" s="104" t="s">
        <v>7779</v>
      </c>
      <c r="T448" s="104" t="s">
        <v>7792</v>
      </c>
      <c r="U448" s="104" t="s">
        <v>7916</v>
      </c>
      <c r="V448" s="104" t="s">
        <v>7975</v>
      </c>
      <c r="W448" s="104" t="s">
        <v>7724</v>
      </c>
    </row>
    <row r="449" spans="1:23" ht="26.25" customHeight="1">
      <c r="A449" s="109" t="s">
        <v>8223</v>
      </c>
      <c r="B449" s="89"/>
      <c r="C449" s="324"/>
      <c r="D449" s="104" t="s">
        <v>7840</v>
      </c>
      <c r="E449" s="104" t="s">
        <v>8067</v>
      </c>
      <c r="F449" s="311"/>
      <c r="G449" s="237" t="s">
        <v>5693</v>
      </c>
      <c r="H449" s="174" t="s">
        <v>5693</v>
      </c>
      <c r="I449" s="104" t="s">
        <v>7922</v>
      </c>
      <c r="J449" s="108" t="s">
        <v>8014</v>
      </c>
      <c r="K449" s="104" t="s">
        <v>7815</v>
      </c>
      <c r="L449" s="104" t="s">
        <v>8016</v>
      </c>
      <c r="M449" s="132" t="s">
        <v>7776</v>
      </c>
      <c r="N449" s="104" t="s">
        <v>7804</v>
      </c>
      <c r="O449" s="104" t="s">
        <v>7785</v>
      </c>
      <c r="P449" s="109" t="s">
        <v>8186</v>
      </c>
      <c r="Q449" s="106" t="s">
        <v>8001</v>
      </c>
      <c r="R449" s="104" t="s">
        <v>7830</v>
      </c>
      <c r="S449" s="104" t="s">
        <v>7824</v>
      </c>
      <c r="T449" s="104" t="s">
        <v>7806</v>
      </c>
      <c r="U449" s="104" t="s">
        <v>7964</v>
      </c>
      <c r="V449" s="104" t="s">
        <v>8019</v>
      </c>
      <c r="W449" s="104" t="s">
        <v>7781</v>
      </c>
    </row>
    <row r="450" spans="1:23" ht="26.25" customHeight="1">
      <c r="A450" s="144"/>
      <c r="B450" s="89"/>
      <c r="C450" s="324"/>
      <c r="D450" s="108" t="s">
        <v>7832</v>
      </c>
      <c r="E450" s="106" t="s">
        <v>8093</v>
      </c>
      <c r="F450" s="89"/>
      <c r="G450" s="106" t="s">
        <v>8332</v>
      </c>
      <c r="H450" s="143" t="s">
        <v>8560</v>
      </c>
      <c r="I450" s="104" t="s">
        <v>7960</v>
      </c>
      <c r="J450" s="104" t="s">
        <v>8013</v>
      </c>
      <c r="K450" s="104" t="s">
        <v>7820</v>
      </c>
      <c r="L450" s="104" t="s">
        <v>8050</v>
      </c>
      <c r="M450" s="104" t="s">
        <v>7821</v>
      </c>
      <c r="N450" s="104" t="s">
        <v>7822</v>
      </c>
      <c r="O450" s="104" t="s">
        <v>7842</v>
      </c>
      <c r="P450" s="106" t="s">
        <v>8187</v>
      </c>
      <c r="Q450" s="104" t="s">
        <v>8026</v>
      </c>
      <c r="R450" s="104" t="s">
        <v>7843</v>
      </c>
      <c r="S450" s="104" t="s">
        <v>7833</v>
      </c>
      <c r="T450" s="106" t="s">
        <v>7813</v>
      </c>
      <c r="U450" s="104" t="s">
        <v>7980</v>
      </c>
      <c r="V450" s="104" t="s">
        <v>8054</v>
      </c>
      <c r="W450" s="106" t="s">
        <v>7782</v>
      </c>
    </row>
    <row r="451" spans="1:23" ht="26.25" customHeight="1">
      <c r="A451" s="116"/>
      <c r="B451" s="89"/>
      <c r="C451" s="89"/>
      <c r="D451" s="104" t="s">
        <v>7861</v>
      </c>
      <c r="E451" s="104" t="s">
        <v>8099</v>
      </c>
      <c r="F451" s="89"/>
      <c r="G451" s="106" t="s">
        <v>8306</v>
      </c>
      <c r="H451" s="324" t="s">
        <v>8561</v>
      </c>
      <c r="I451" s="129" t="s">
        <v>7977</v>
      </c>
      <c r="J451" s="132" t="s">
        <v>8334</v>
      </c>
      <c r="K451" s="106" t="s">
        <v>7862</v>
      </c>
      <c r="L451" s="106" t="s">
        <v>8069</v>
      </c>
      <c r="M451" s="109" t="s">
        <v>7890</v>
      </c>
      <c r="N451" s="109" t="s">
        <v>7841</v>
      </c>
      <c r="O451" s="104" t="s">
        <v>8097</v>
      </c>
      <c r="P451" s="104" t="s">
        <v>8192</v>
      </c>
      <c r="Q451" s="109" t="s">
        <v>8052</v>
      </c>
      <c r="R451" s="104" t="s">
        <v>7835</v>
      </c>
      <c r="S451" s="104" t="s">
        <v>7844</v>
      </c>
      <c r="T451" s="104" t="s">
        <v>7867</v>
      </c>
      <c r="U451" s="104" t="s">
        <v>8018</v>
      </c>
      <c r="V451" s="104" t="s">
        <v>8074</v>
      </c>
      <c r="W451" s="109" t="s">
        <v>7793</v>
      </c>
    </row>
    <row r="452" spans="1:23" ht="26.25" customHeight="1">
      <c r="A452" s="284"/>
      <c r="B452" s="89"/>
      <c r="C452" s="89"/>
      <c r="D452" s="158" t="s">
        <v>7883</v>
      </c>
      <c r="E452" s="104" t="s">
        <v>8157</v>
      </c>
      <c r="F452" s="89"/>
      <c r="G452" s="106" t="s">
        <v>8403</v>
      </c>
      <c r="H452" s="324" t="s">
        <v>8562</v>
      </c>
      <c r="I452" s="108" t="s">
        <v>8011</v>
      </c>
      <c r="J452" s="104" t="s">
        <v>8302</v>
      </c>
      <c r="K452" s="104" t="s">
        <v>7908</v>
      </c>
      <c r="L452" s="132" t="s">
        <v>8068</v>
      </c>
      <c r="M452" s="104" t="s">
        <v>8039</v>
      </c>
      <c r="N452" s="109" t="s">
        <v>7890</v>
      </c>
      <c r="O452" s="109" t="s">
        <v>8065</v>
      </c>
      <c r="P452" s="104" t="s">
        <v>8198</v>
      </c>
      <c r="Q452" s="104" t="s">
        <v>8064</v>
      </c>
      <c r="R452" s="104" t="s">
        <v>7865</v>
      </c>
      <c r="S452" s="104" t="s">
        <v>7853</v>
      </c>
      <c r="T452" s="104" t="s">
        <v>7886</v>
      </c>
      <c r="U452" s="106" t="s">
        <v>8029</v>
      </c>
      <c r="V452" s="104" t="s">
        <v>8105</v>
      </c>
      <c r="W452" s="104" t="s">
        <v>7808</v>
      </c>
    </row>
    <row r="453" spans="1:23" ht="26.25" customHeight="1">
      <c r="A453" s="89"/>
      <c r="B453" s="89"/>
      <c r="C453" s="89"/>
      <c r="D453" s="104" t="s">
        <v>7904</v>
      </c>
      <c r="E453" s="104" t="s">
        <v>8195</v>
      </c>
      <c r="F453" s="89"/>
      <c r="G453" s="109" t="s">
        <v>8305</v>
      </c>
      <c r="H453" s="324"/>
      <c r="I453" s="108" t="s">
        <v>8010</v>
      </c>
      <c r="J453" s="104" t="s">
        <v>8526</v>
      </c>
      <c r="K453" s="159" t="s">
        <v>7923</v>
      </c>
      <c r="L453" s="108" t="s">
        <v>8070</v>
      </c>
      <c r="M453" s="104" t="s">
        <v>8071</v>
      </c>
      <c r="N453" s="104" t="s">
        <v>7961</v>
      </c>
      <c r="O453" s="277"/>
      <c r="P453" s="108" t="s">
        <v>8229</v>
      </c>
      <c r="Q453" s="104" t="s">
        <v>8103</v>
      </c>
      <c r="R453" s="108" t="s">
        <v>7864</v>
      </c>
      <c r="S453" s="104" t="s">
        <v>7866</v>
      </c>
      <c r="T453" s="104" t="s">
        <v>7934</v>
      </c>
      <c r="U453" s="104" t="s">
        <v>8056</v>
      </c>
      <c r="V453" s="104" t="s">
        <v>8088</v>
      </c>
      <c r="W453" s="104" t="s">
        <v>7814</v>
      </c>
    </row>
    <row r="454" spans="1:23" ht="26.25" customHeight="1">
      <c r="A454" s="89"/>
      <c r="B454" s="89"/>
      <c r="C454" s="89"/>
      <c r="D454" s="132" t="s">
        <v>8303</v>
      </c>
      <c r="E454" s="104" t="s">
        <v>8466</v>
      </c>
      <c r="F454" s="89"/>
      <c r="G454" s="143"/>
      <c r="H454" s="112"/>
      <c r="I454" s="104" t="s">
        <v>8009</v>
      </c>
      <c r="J454" s="116"/>
      <c r="K454" s="104" t="s">
        <v>7989</v>
      </c>
      <c r="L454" s="109" t="s">
        <v>8100</v>
      </c>
      <c r="M454" s="104" t="s">
        <v>8095</v>
      </c>
      <c r="N454" s="109" t="s">
        <v>7971</v>
      </c>
      <c r="O454" s="277"/>
      <c r="P454" s="104" t="s">
        <v>8294</v>
      </c>
      <c r="Q454" s="104" t="s">
        <v>8091</v>
      </c>
      <c r="R454" s="108" t="s">
        <v>7863</v>
      </c>
      <c r="S454" s="109" t="s">
        <v>7962</v>
      </c>
      <c r="T454" s="104" t="s">
        <v>7910</v>
      </c>
      <c r="U454" s="104" t="s">
        <v>8066</v>
      </c>
      <c r="V454" s="104" t="s">
        <v>8089</v>
      </c>
      <c r="W454" s="106" t="s">
        <v>7714</v>
      </c>
    </row>
    <row r="455" spans="1:23" ht="23.25" customHeight="1">
      <c r="A455" s="89"/>
      <c r="B455" s="89"/>
      <c r="C455" s="89"/>
      <c r="D455" s="106" t="s">
        <v>8402</v>
      </c>
      <c r="E455" s="143" t="s">
        <v>8525</v>
      </c>
      <c r="F455" s="89"/>
      <c r="G455" s="316"/>
      <c r="H455" s="112"/>
      <c r="I455" s="104" t="s">
        <v>8008</v>
      </c>
      <c r="J455" s="324" t="s">
        <v>8285</v>
      </c>
      <c r="K455" s="106" t="s">
        <v>7988</v>
      </c>
      <c r="L455" s="104" t="s">
        <v>8129</v>
      </c>
      <c r="M455" s="104" t="s">
        <v>8197</v>
      </c>
      <c r="N455" s="104" t="s">
        <v>7991</v>
      </c>
      <c r="O455" s="277"/>
      <c r="P455" s="104" t="s">
        <v>8336</v>
      </c>
      <c r="Q455" s="106" t="s">
        <v>8132</v>
      </c>
      <c r="R455" s="104" t="s">
        <v>7870</v>
      </c>
      <c r="S455" s="109" t="s">
        <v>7969</v>
      </c>
      <c r="T455" s="106" t="s">
        <v>7937</v>
      </c>
      <c r="U455" s="273" t="s">
        <v>5270</v>
      </c>
      <c r="V455" s="106" t="s">
        <v>8084</v>
      </c>
      <c r="W455" s="104" t="s">
        <v>7826</v>
      </c>
    </row>
    <row r="456" spans="1:23" ht="26.25" customHeight="1">
      <c r="A456" s="284"/>
      <c r="B456" s="116"/>
      <c r="C456" s="276"/>
      <c r="D456" s="109" t="s">
        <v>8304</v>
      </c>
      <c r="E456" s="116"/>
      <c r="F456" s="116"/>
      <c r="G456" s="316"/>
      <c r="H456" s="112"/>
      <c r="I456" s="109" t="s">
        <v>8012</v>
      </c>
      <c r="J456" s="143" t="s">
        <v>8563</v>
      </c>
      <c r="K456" s="104" t="s">
        <v>7983</v>
      </c>
      <c r="L456" s="104" t="s">
        <v>8130</v>
      </c>
      <c r="M456" s="104" t="s">
        <v>8166</v>
      </c>
      <c r="N456" s="104" t="s">
        <v>8017</v>
      </c>
      <c r="O456" s="277"/>
      <c r="P456" s="106" t="s">
        <v>8289</v>
      </c>
      <c r="Q456" s="109" t="s">
        <v>8161</v>
      </c>
      <c r="R456" s="104" t="s">
        <v>7885</v>
      </c>
      <c r="S456" s="104" t="s">
        <v>7978</v>
      </c>
      <c r="T456" s="106" t="s">
        <v>7970</v>
      </c>
      <c r="U456" s="106" t="s">
        <v>8040</v>
      </c>
      <c r="V456" s="104" t="s">
        <v>8134</v>
      </c>
      <c r="W456" s="104" t="s">
        <v>7834</v>
      </c>
    </row>
    <row r="457" spans="1:23" ht="26.25" customHeight="1">
      <c r="A457" s="284"/>
      <c r="B457" s="89"/>
      <c r="C457" s="144"/>
      <c r="D457" s="144"/>
      <c r="E457" s="280"/>
      <c r="F457" s="116"/>
      <c r="G457" s="316"/>
      <c r="H457" s="112"/>
      <c r="I457" s="104" t="s">
        <v>8024</v>
      </c>
      <c r="J457" s="143"/>
      <c r="K457" s="104" t="s">
        <v>8015</v>
      </c>
      <c r="L457" s="109" t="s">
        <v>8158</v>
      </c>
      <c r="M457" s="104" t="s">
        <v>8227</v>
      </c>
      <c r="N457" s="106" t="s">
        <v>8025</v>
      </c>
      <c r="O457" s="277"/>
      <c r="P457" s="108" t="s">
        <v>8407</v>
      </c>
      <c r="Q457" s="104" t="s">
        <v>8164</v>
      </c>
      <c r="R457" s="108" t="s">
        <v>7909</v>
      </c>
      <c r="S457" s="104" t="s">
        <v>7993</v>
      </c>
      <c r="T457" s="104" t="s">
        <v>7979</v>
      </c>
      <c r="U457" s="55" t="s">
        <v>8073</v>
      </c>
      <c r="V457" s="104" t="s">
        <v>8182</v>
      </c>
      <c r="W457" s="104" t="s">
        <v>7845</v>
      </c>
    </row>
    <row r="458" spans="1:23" ht="26.25" customHeight="1">
      <c r="A458" s="116"/>
      <c r="B458" s="89"/>
      <c r="C458" s="144"/>
      <c r="D458" s="89"/>
      <c r="E458" s="324"/>
      <c r="F458" s="89"/>
      <c r="G458" s="316"/>
      <c r="H458" s="112"/>
      <c r="I458" s="104" t="s">
        <v>8128</v>
      </c>
      <c r="J458" s="103"/>
      <c r="K458" s="108" t="s">
        <v>8049</v>
      </c>
      <c r="L458" s="132" t="s">
        <v>8196</v>
      </c>
      <c r="M458" s="104" t="s">
        <v>8228</v>
      </c>
      <c r="N458" s="109" t="s">
        <v>8051</v>
      </c>
      <c r="O458" s="271"/>
      <c r="P458" s="108" t="s">
        <v>8485</v>
      </c>
      <c r="Q458" s="109" t="s">
        <v>8169</v>
      </c>
      <c r="R458" s="104" t="s">
        <v>7924</v>
      </c>
      <c r="S458" s="106" t="s">
        <v>7987</v>
      </c>
      <c r="T458" s="104" t="s">
        <v>8028</v>
      </c>
      <c r="U458" s="104" t="s">
        <v>8181</v>
      </c>
      <c r="V458" s="104" t="s">
        <v>7882</v>
      </c>
      <c r="W458" s="104" t="s">
        <v>7887</v>
      </c>
    </row>
    <row r="459" spans="1:23" ht="26.25" customHeight="1">
      <c r="A459" s="292"/>
      <c r="B459" s="89"/>
      <c r="C459" s="144"/>
      <c r="D459" s="89"/>
      <c r="E459" s="324"/>
      <c r="F459" s="89"/>
      <c r="G459" s="316"/>
      <c r="H459" s="112"/>
      <c r="I459" s="109" t="s">
        <v>8426</v>
      </c>
      <c r="J459" s="275"/>
      <c r="K459" s="132" t="s">
        <v>8343</v>
      </c>
      <c r="L459" s="104" t="s">
        <v>8274</v>
      </c>
      <c r="M459" s="109" t="s">
        <v>8245</v>
      </c>
      <c r="N459" s="104" t="s">
        <v>8101</v>
      </c>
      <c r="O459" s="116"/>
      <c r="P459" s="322" t="s">
        <v>8429</v>
      </c>
      <c r="Q459" s="104" t="s">
        <v>8179</v>
      </c>
      <c r="R459" s="104" t="s">
        <v>8004</v>
      </c>
      <c r="S459" s="104" t="s">
        <v>8027</v>
      </c>
      <c r="T459" s="104" t="s">
        <v>8053</v>
      </c>
      <c r="U459" s="104" t="s">
        <v>8199</v>
      </c>
      <c r="V459" s="104" t="s">
        <v>8184</v>
      </c>
      <c r="W459" s="106" t="s">
        <v>7874</v>
      </c>
    </row>
    <row r="460" spans="1:23" ht="26.25" customHeight="1">
      <c r="A460" s="116"/>
      <c r="B460" s="89"/>
      <c r="C460" s="144"/>
      <c r="D460" s="89"/>
      <c r="E460" s="324"/>
      <c r="F460" s="89"/>
      <c r="G460" s="316"/>
      <c r="H460" s="112"/>
      <c r="I460" s="315" t="s">
        <v>8559</v>
      </c>
      <c r="J460" s="276"/>
      <c r="K460" s="322"/>
      <c r="L460" s="108" t="s">
        <v>8293</v>
      </c>
      <c r="M460" s="104" t="s">
        <v>8275</v>
      </c>
      <c r="N460" s="104" t="s">
        <v>8131</v>
      </c>
      <c r="O460" s="270"/>
      <c r="P460" s="322" t="s">
        <v>8430</v>
      </c>
      <c r="Q460" s="132" t="s">
        <v>8203</v>
      </c>
      <c r="R460" s="104" t="s">
        <v>8072</v>
      </c>
      <c r="S460" s="109" t="s">
        <v>8297</v>
      </c>
      <c r="T460" s="109" t="s">
        <v>8487</v>
      </c>
      <c r="U460" s="104" t="s">
        <v>8212</v>
      </c>
      <c r="V460" s="104" t="s">
        <v>8200</v>
      </c>
      <c r="W460" s="104" t="s">
        <v>7911</v>
      </c>
    </row>
    <row r="461" spans="1:23" ht="26.25" customHeight="1">
      <c r="A461" s="284"/>
      <c r="B461" s="89"/>
      <c r="C461" s="144"/>
      <c r="D461" s="89"/>
      <c r="E461" s="324"/>
      <c r="F461" s="89"/>
      <c r="G461" s="316"/>
      <c r="H461" s="324"/>
      <c r="I461" s="319" t="s">
        <v>8347</v>
      </c>
      <c r="J461" s="324"/>
      <c r="K461" s="322" t="s">
        <v>8435</v>
      </c>
      <c r="L461" s="132" t="s">
        <v>8504</v>
      </c>
      <c r="M461" s="104" t="s">
        <v>8335</v>
      </c>
      <c r="N461" s="106" t="s">
        <v>8144</v>
      </c>
      <c r="O461" s="278"/>
      <c r="P461" s="322" t="s">
        <v>8446</v>
      </c>
      <c r="Q461" s="104" t="s">
        <v>8201</v>
      </c>
      <c r="R461" s="104" t="s">
        <v>8075</v>
      </c>
      <c r="S461" s="104" t="s">
        <v>8517</v>
      </c>
      <c r="T461" s="17" t="s">
        <v>8462</v>
      </c>
      <c r="U461" s="104" t="s">
        <v>8337</v>
      </c>
      <c r="V461" s="104" t="s">
        <v>8296</v>
      </c>
      <c r="W461" s="106" t="s">
        <v>7931</v>
      </c>
    </row>
    <row r="462" spans="1:23" ht="26.25" customHeight="1">
      <c r="A462" s="284"/>
      <c r="B462" s="89"/>
      <c r="C462" s="144"/>
      <c r="D462" s="89"/>
      <c r="E462" s="116"/>
      <c r="F462" s="89"/>
      <c r="G462" s="316"/>
      <c r="H462" s="112"/>
      <c r="I462" s="322" t="s">
        <v>8436</v>
      </c>
      <c r="J462" s="324"/>
      <c r="K462" s="103" t="s">
        <v>8527</v>
      </c>
      <c r="L462" s="315"/>
      <c r="M462" s="104" t="s">
        <v>8405</v>
      </c>
      <c r="N462" s="109" t="s">
        <v>8159</v>
      </c>
      <c r="O462" s="276"/>
      <c r="P462" s="322"/>
      <c r="Q462" s="104" t="s">
        <v>8202</v>
      </c>
      <c r="R462" s="104" t="s">
        <v>8104</v>
      </c>
      <c r="S462" s="143" t="s">
        <v>8518</v>
      </c>
      <c r="T462" s="143" t="s">
        <v>8518</v>
      </c>
      <c r="U462" s="104" t="s">
        <v>8408</v>
      </c>
      <c r="V462" s="273" t="s">
        <v>5600</v>
      </c>
      <c r="W462" s="106" t="s">
        <v>7933</v>
      </c>
    </row>
    <row r="463" spans="1:23" ht="26.25" customHeight="1">
      <c r="A463" s="296"/>
      <c r="B463" s="89"/>
      <c r="C463" s="324"/>
      <c r="D463" s="89"/>
      <c r="E463" s="116"/>
      <c r="F463" s="89"/>
      <c r="G463" s="319"/>
      <c r="H463" s="289"/>
      <c r="I463" s="279"/>
      <c r="J463" s="324"/>
      <c r="K463" s="323" t="s">
        <v>8438</v>
      </c>
      <c r="L463" s="315" t="s">
        <v>8461</v>
      </c>
      <c r="M463" s="116"/>
      <c r="N463" s="108" t="s">
        <v>8177</v>
      </c>
      <c r="O463" s="324"/>
      <c r="P463" s="322"/>
      <c r="Q463" s="106" t="s">
        <v>8214</v>
      </c>
      <c r="R463" s="104" t="s">
        <v>8090</v>
      </c>
      <c r="S463" s="272"/>
      <c r="T463" s="270"/>
      <c r="U463" s="104" t="s">
        <v>8488</v>
      </c>
      <c r="V463" s="104" t="s">
        <v>8283</v>
      </c>
      <c r="W463" s="104" t="s">
        <v>7994</v>
      </c>
    </row>
    <row r="464" spans="1:23" ht="26.25" customHeight="1">
      <c r="A464" s="322"/>
      <c r="B464" s="322"/>
      <c r="C464" s="322"/>
      <c r="D464" s="322"/>
      <c r="E464" s="298"/>
      <c r="F464" s="89"/>
      <c r="G464" s="319"/>
      <c r="H464" s="112"/>
      <c r="I464" s="319"/>
      <c r="J464" s="324"/>
      <c r="K464" s="276"/>
      <c r="L464" s="143"/>
      <c r="M464" s="322" t="s">
        <v>8434</v>
      </c>
      <c r="N464" s="106" t="s">
        <v>8191</v>
      </c>
      <c r="O464" s="324"/>
      <c r="P464" s="319"/>
      <c r="Q464" s="104" t="s">
        <v>8230</v>
      </c>
      <c r="R464" s="104" t="s">
        <v>8133</v>
      </c>
      <c r="S464" s="276"/>
      <c r="T464" s="270"/>
      <c r="U464" s="308"/>
      <c r="V464" s="104" t="s">
        <v>8284</v>
      </c>
      <c r="W464" s="109" t="s">
        <v>7985</v>
      </c>
    </row>
    <row r="465" spans="1:23" ht="26.25" customHeight="1">
      <c r="A465" s="322"/>
      <c r="B465" s="322"/>
      <c r="C465" s="322"/>
      <c r="D465" s="322"/>
      <c r="E465" s="286"/>
      <c r="F465" s="89"/>
      <c r="G465" s="319"/>
      <c r="H465" s="322"/>
      <c r="I465" s="319"/>
      <c r="J465" s="324"/>
      <c r="K465" s="322"/>
      <c r="L465" s="143"/>
      <c r="M465" s="291"/>
      <c r="N465" s="108" t="s">
        <v>8344</v>
      </c>
      <c r="O465" s="324"/>
      <c r="P465" s="319"/>
      <c r="Q465" s="104" t="s">
        <v>8295</v>
      </c>
      <c r="R465" s="104" t="s">
        <v>8162</v>
      </c>
      <c r="S465" s="116"/>
      <c r="T465" s="322"/>
      <c r="U465" s="306"/>
      <c r="V465" s="106" t="s">
        <v>8301</v>
      </c>
      <c r="W465" s="106" t="s">
        <v>8020</v>
      </c>
    </row>
    <row r="466" spans="1:23" ht="26.25" customHeight="1">
      <c r="A466" s="322"/>
      <c r="B466" s="322"/>
      <c r="C466" s="322"/>
      <c r="D466" s="322"/>
      <c r="E466" s="116"/>
      <c r="F466" s="319"/>
      <c r="G466" s="319"/>
      <c r="H466" s="112"/>
      <c r="I466" s="319"/>
      <c r="J466" s="324"/>
      <c r="K466" s="322"/>
      <c r="L466" s="312"/>
      <c r="M466" s="293"/>
      <c r="N466" s="132" t="s">
        <v>8406</v>
      </c>
      <c r="O466" s="324"/>
      <c r="P466" s="319"/>
      <c r="Q466" s="104" t="s">
        <v>8354</v>
      </c>
      <c r="R466" s="104" t="s">
        <v>8165</v>
      </c>
      <c r="S466" s="116"/>
      <c r="T466" s="322"/>
      <c r="U466" s="306"/>
      <c r="V466" s="104" t="s">
        <v>8345</v>
      </c>
      <c r="W466" s="104" t="s">
        <v>8030</v>
      </c>
    </row>
    <row r="467" spans="1:23" ht="26.25" customHeight="1">
      <c r="A467" s="144" t="s">
        <v>8542</v>
      </c>
      <c r="B467" s="322"/>
      <c r="C467" s="322"/>
      <c r="D467" s="322"/>
      <c r="E467" s="316"/>
      <c r="F467" s="319" t="s">
        <v>8363</v>
      </c>
      <c r="G467" s="319"/>
      <c r="H467" s="324"/>
      <c r="I467" s="322"/>
      <c r="J467" s="291"/>
      <c r="K467" s="324"/>
      <c r="L467" s="143"/>
      <c r="M467" s="296"/>
      <c r="N467" s="108" t="s">
        <v>8484</v>
      </c>
      <c r="O467" s="324"/>
      <c r="P467" s="319"/>
      <c r="Q467" s="106" t="s">
        <v>8248</v>
      </c>
      <c r="R467" s="104" t="s">
        <v>8180</v>
      </c>
      <c r="S467" s="116"/>
      <c r="T467" s="322"/>
      <c r="U467" s="306"/>
      <c r="V467" s="104" t="s">
        <v>8489</v>
      </c>
      <c r="W467" s="104" t="s">
        <v>8031</v>
      </c>
    </row>
    <row r="468" spans="1:23" ht="26.25" customHeight="1">
      <c r="A468" s="322"/>
      <c r="B468" s="324" t="s">
        <v>8474</v>
      </c>
      <c r="C468" s="324" t="s">
        <v>8216</v>
      </c>
      <c r="D468" s="322"/>
      <c r="E468" s="298"/>
      <c r="F468" s="319"/>
      <c r="G468" s="319"/>
      <c r="H468" s="112"/>
      <c r="I468" s="324"/>
      <c r="J468" s="291"/>
      <c r="K468" s="324"/>
      <c r="L468" s="143"/>
      <c r="M468" s="144"/>
      <c r="N468" s="103" t="s">
        <v>8522</v>
      </c>
      <c r="O468" s="324"/>
      <c r="P468" s="322"/>
      <c r="Q468" s="109" t="s">
        <v>8486</v>
      </c>
      <c r="R468" s="109" t="s">
        <v>8231</v>
      </c>
      <c r="S468" s="116"/>
      <c r="T468" s="322"/>
      <c r="U468" s="319"/>
      <c r="V468" s="324" t="s">
        <v>8558</v>
      </c>
      <c r="W468" s="104" t="s">
        <v>8055</v>
      </c>
    </row>
    <row r="469" spans="1:23" ht="26.25" customHeight="1">
      <c r="A469" s="322"/>
      <c r="B469" s="322"/>
      <c r="C469" s="322"/>
      <c r="D469" s="322"/>
      <c r="E469" s="324" t="s">
        <v>8457</v>
      </c>
      <c r="F469" s="319" t="s">
        <v>8330</v>
      </c>
      <c r="G469" s="319"/>
      <c r="H469" s="112"/>
      <c r="I469" s="103"/>
      <c r="J469" s="291"/>
      <c r="K469" s="324"/>
      <c r="L469" s="306"/>
      <c r="M469" s="279"/>
      <c r="N469" s="324" t="s">
        <v>8432</v>
      </c>
      <c r="O469" s="324"/>
      <c r="P469" s="322"/>
      <c r="Q469" s="322" t="s">
        <v>8445</v>
      </c>
      <c r="R469" s="104" t="s">
        <v>8247</v>
      </c>
      <c r="S469" s="116"/>
      <c r="T469" s="289"/>
      <c r="U469" s="319"/>
      <c r="V469" s="280"/>
      <c r="W469" s="54" t="s">
        <v>7972</v>
      </c>
    </row>
    <row r="470" spans="1:23" ht="26.25" customHeight="1">
      <c r="A470" s="89"/>
      <c r="B470" s="89"/>
      <c r="C470" s="89"/>
      <c r="D470" s="89"/>
      <c r="E470" s="112" t="s">
        <v>8455</v>
      </c>
      <c r="F470" s="319"/>
      <c r="G470" s="319"/>
      <c r="H470" s="112"/>
      <c r="I470" s="322"/>
      <c r="J470" s="291"/>
      <c r="K470" s="324"/>
      <c r="L470" s="143"/>
      <c r="M470" s="306"/>
      <c r="N470" s="324" t="s">
        <v>8433</v>
      </c>
      <c r="O470" s="322"/>
      <c r="P470" s="319"/>
      <c r="Q470" s="308"/>
      <c r="R470" s="293"/>
      <c r="S470" s="289"/>
      <c r="T470" s="289"/>
      <c r="U470" s="319"/>
      <c r="V470" s="291"/>
      <c r="W470" s="104" t="s">
        <v>8135</v>
      </c>
    </row>
    <row r="471" spans="1:23" ht="26.25" customHeight="1">
      <c r="A471" s="89"/>
      <c r="B471" s="89"/>
      <c r="C471" s="89"/>
      <c r="D471" s="89"/>
      <c r="E471" s="112" t="s">
        <v>8282</v>
      </c>
      <c r="F471" s="319" t="s">
        <v>8326</v>
      </c>
      <c r="G471" s="319"/>
      <c r="H471" s="112"/>
      <c r="I471" s="322"/>
      <c r="J471" s="291" t="s">
        <v>8480</v>
      </c>
      <c r="K471" s="324"/>
      <c r="L471" s="143"/>
      <c r="M471" s="301"/>
      <c r="N471" s="323" t="s">
        <v>8473</v>
      </c>
      <c r="O471" s="144"/>
      <c r="P471" s="319"/>
      <c r="Q471" s="306"/>
      <c r="R471" s="306"/>
      <c r="S471" s="289"/>
      <c r="T471" s="289"/>
      <c r="U471" s="319"/>
      <c r="V471" s="280"/>
      <c r="W471" s="104" t="s">
        <v>8142</v>
      </c>
    </row>
    <row r="472" spans="1:23" ht="26.25" customHeight="1">
      <c r="A472" s="89"/>
      <c r="B472" s="89"/>
      <c r="C472" s="89"/>
      <c r="D472" s="319"/>
      <c r="E472" s="112" t="s">
        <v>8208</v>
      </c>
      <c r="F472" s="89" t="s">
        <v>8464</v>
      </c>
      <c r="G472" s="319"/>
      <c r="H472" s="112"/>
      <c r="I472" s="322"/>
      <c r="J472" s="318" t="s">
        <v>8389</v>
      </c>
      <c r="K472" s="324"/>
      <c r="L472" s="143"/>
      <c r="M472" s="308"/>
      <c r="N472" s="318"/>
      <c r="O472" s="322"/>
      <c r="P472" s="319"/>
      <c r="Q472" s="322"/>
      <c r="R472" s="306"/>
      <c r="S472" s="324"/>
      <c r="T472" s="324"/>
      <c r="U472" s="116"/>
      <c r="V472" s="296"/>
      <c r="W472" s="106" t="s">
        <v>8143</v>
      </c>
    </row>
    <row r="473" spans="1:23" ht="26.25" customHeight="1">
      <c r="A473" s="89"/>
      <c r="B473" s="89"/>
      <c r="C473" s="89"/>
      <c r="D473" s="319"/>
      <c r="E473" s="324" t="s">
        <v>8545</v>
      </c>
      <c r="F473" s="89"/>
      <c r="G473" s="89"/>
      <c r="H473" s="112"/>
      <c r="I473" s="319"/>
      <c r="J473" s="318"/>
      <c r="K473" s="324"/>
      <c r="L473" s="143"/>
      <c r="M473" s="322"/>
      <c r="N473" s="318"/>
      <c r="O473" s="322"/>
      <c r="P473" s="319"/>
      <c r="Q473" s="306"/>
      <c r="R473" s="306"/>
      <c r="S473" s="324"/>
      <c r="T473" s="324"/>
      <c r="U473" s="314"/>
      <c r="V473" s="324"/>
      <c r="W473" s="54" t="s">
        <v>8141</v>
      </c>
    </row>
    <row r="474" spans="1:23" ht="26.25" customHeight="1">
      <c r="A474" s="89"/>
      <c r="B474" s="324"/>
      <c r="C474" s="324"/>
      <c r="D474" s="324"/>
      <c r="E474" s="116" t="s">
        <v>8476</v>
      </c>
      <c r="F474" s="89"/>
      <c r="G474" s="89"/>
      <c r="H474" s="112"/>
      <c r="I474" s="319"/>
      <c r="J474" s="318"/>
      <c r="K474" s="319"/>
      <c r="L474" s="116" t="s">
        <v>8331</v>
      </c>
      <c r="M474" s="116" t="s">
        <v>8399</v>
      </c>
      <c r="N474" s="318"/>
      <c r="O474" s="89"/>
      <c r="P474" s="322"/>
      <c r="Q474" s="322"/>
      <c r="R474" s="143"/>
      <c r="S474" s="324"/>
      <c r="T474" s="324"/>
      <c r="U474" s="314"/>
      <c r="V474" s="324"/>
      <c r="W474" s="106" t="s">
        <v>8163</v>
      </c>
    </row>
    <row r="475" spans="1:23" ht="26.25" customHeight="1">
      <c r="A475" s="89"/>
      <c r="B475" s="324"/>
      <c r="C475" s="324"/>
      <c r="D475" s="324"/>
      <c r="E475" s="293"/>
      <c r="F475" s="89"/>
      <c r="G475" s="89"/>
      <c r="H475" s="112"/>
      <c r="I475" s="312"/>
      <c r="J475" s="318"/>
      <c r="K475" s="116"/>
      <c r="L475" s="321" t="s">
        <v>8467</v>
      </c>
      <c r="M475" s="322"/>
      <c r="N475" s="318"/>
      <c r="O475" s="89"/>
      <c r="P475" s="322"/>
      <c r="Q475" s="322"/>
      <c r="R475" s="143"/>
      <c r="S475" s="324"/>
      <c r="T475" s="324"/>
      <c r="U475" s="314"/>
      <c r="V475" s="324"/>
      <c r="W475" s="104" t="s">
        <v>8183</v>
      </c>
    </row>
    <row r="476" spans="1:23" ht="26.25" customHeight="1">
      <c r="A476" s="89"/>
      <c r="B476" s="324"/>
      <c r="C476" s="324"/>
      <c r="D476" s="324"/>
      <c r="E476" s="292"/>
      <c r="F476" s="89"/>
      <c r="G476" s="89"/>
      <c r="H476" s="112"/>
      <c r="I476" s="89"/>
      <c r="J476" s="319"/>
      <c r="K476" s="321"/>
      <c r="L476" s="321" t="s">
        <v>8392</v>
      </c>
      <c r="M476" s="322"/>
      <c r="N476" s="305"/>
      <c r="O476" s="89"/>
      <c r="P476" s="322"/>
      <c r="Q476" s="322"/>
      <c r="R476" s="306"/>
      <c r="S476" s="324"/>
      <c r="T476" s="324"/>
      <c r="U476" s="17"/>
      <c r="V476" s="324"/>
      <c r="W476" s="320" t="s">
        <v>8437</v>
      </c>
    </row>
    <row r="477" spans="1:23" ht="26.25" customHeight="1">
      <c r="A477" s="89"/>
      <c r="B477" s="324"/>
      <c r="C477" s="324"/>
      <c r="D477" s="324"/>
      <c r="E477" s="316"/>
      <c r="F477" s="316" t="s">
        <v>8382</v>
      </c>
      <c r="G477" s="316"/>
      <c r="H477" s="112"/>
      <c r="I477" s="89"/>
      <c r="J477" s="318"/>
      <c r="K477" s="143" t="s">
        <v>8465</v>
      </c>
      <c r="L477" s="322" t="s">
        <v>8323</v>
      </c>
      <c r="M477" s="322" t="s">
        <v>8471</v>
      </c>
      <c r="N477" s="306" t="s">
        <v>8478</v>
      </c>
      <c r="O477" s="144"/>
      <c r="P477" s="322"/>
      <c r="Q477" s="322"/>
      <c r="R477" s="306"/>
      <c r="S477" s="324"/>
      <c r="T477" s="324"/>
      <c r="U477" s="293"/>
      <c r="V477" s="312"/>
      <c r="W477" s="322" t="s">
        <v>8519</v>
      </c>
    </row>
    <row r="478" spans="1:23" ht="26.25" customHeight="1">
      <c r="A478" s="89"/>
      <c r="B478" s="324"/>
      <c r="C478" s="324"/>
      <c r="D478" s="324"/>
      <c r="E478" s="316"/>
      <c r="F478" s="316"/>
      <c r="G478" s="316"/>
      <c r="H478" s="112"/>
      <c r="I478" s="89"/>
      <c r="J478" s="314"/>
      <c r="K478" s="318" t="s">
        <v>8360</v>
      </c>
      <c r="L478" s="143" t="s">
        <v>8394</v>
      </c>
      <c r="M478" s="322"/>
      <c r="N478" s="144"/>
      <c r="O478" s="322" t="s">
        <v>8470</v>
      </c>
      <c r="P478" s="322"/>
      <c r="Q478" s="322"/>
      <c r="R478" s="306"/>
      <c r="S478" s="276"/>
      <c r="T478" s="314"/>
      <c r="U478" s="293"/>
      <c r="V478" s="312"/>
      <c r="W478" s="324" t="s">
        <v>8520</v>
      </c>
    </row>
    <row r="479" spans="1:23" ht="26.25" customHeight="1">
      <c r="A479" s="89"/>
      <c r="B479" s="324"/>
      <c r="C479" s="324"/>
      <c r="D479" s="324"/>
      <c r="E479" s="316"/>
      <c r="F479" s="316"/>
      <c r="G479" s="316"/>
      <c r="H479" s="112"/>
      <c r="I479" s="89"/>
      <c r="J479" s="313"/>
      <c r="K479" s="319"/>
      <c r="L479" s="306" t="s">
        <v>8393</v>
      </c>
      <c r="M479" s="322" t="s">
        <v>8548</v>
      </c>
      <c r="N479" s="311" t="s">
        <v>8460</v>
      </c>
      <c r="O479" s="89"/>
      <c r="P479" s="322"/>
      <c r="Q479" s="322"/>
      <c r="R479" s="279"/>
      <c r="S479" s="116"/>
      <c r="T479" s="322"/>
      <c r="U479" s="293"/>
      <c r="V479" s="306"/>
      <c r="W479" s="324" t="s">
        <v>8521</v>
      </c>
    </row>
    <row r="480" spans="1:23" ht="26.25" customHeight="1">
      <c r="A480" s="89"/>
      <c r="B480" s="324"/>
      <c r="C480" s="324"/>
      <c r="D480" s="324"/>
      <c r="E480" s="316"/>
      <c r="F480" s="316"/>
      <c r="G480" s="316"/>
      <c r="H480" s="112"/>
      <c r="I480" s="291" t="s">
        <v>8388</v>
      </c>
      <c r="J480" s="313"/>
      <c r="K480" s="319" t="s">
        <v>8218</v>
      </c>
      <c r="L480" s="319"/>
      <c r="M480" s="322" t="s">
        <v>8271</v>
      </c>
      <c r="N480" s="312" t="s">
        <v>8047</v>
      </c>
      <c r="O480" s="89"/>
      <c r="P480" s="322"/>
      <c r="Q480" s="322"/>
      <c r="R480" s="116"/>
      <c r="S480" s="116"/>
      <c r="T480" s="116"/>
      <c r="U480" s="293"/>
      <c r="V480" s="314" t="s">
        <v>8456</v>
      </c>
      <c r="W480" s="116"/>
    </row>
    <row r="481" spans="1:23" ht="26.25" customHeight="1">
      <c r="A481" s="89"/>
      <c r="B481" s="89"/>
      <c r="C481" s="324"/>
      <c r="D481" s="324"/>
      <c r="E481" s="316"/>
      <c r="F481" s="316"/>
      <c r="G481" s="316"/>
      <c r="H481" s="112"/>
      <c r="I481" s="314"/>
      <c r="J481" s="315"/>
      <c r="K481" s="116" t="s">
        <v>8543</v>
      </c>
      <c r="L481" s="312" t="s">
        <v>8219</v>
      </c>
      <c r="M481" s="319" t="s">
        <v>8549</v>
      </c>
      <c r="N481" s="143" t="s">
        <v>8321</v>
      </c>
      <c r="O481" s="89"/>
      <c r="P481" s="322"/>
      <c r="Q481" s="322"/>
      <c r="R481" s="89"/>
      <c r="S481" s="116"/>
      <c r="T481" s="89"/>
      <c r="U481" s="324" t="s">
        <v>8170</v>
      </c>
      <c r="V481" s="314"/>
      <c r="W481" s="17"/>
    </row>
    <row r="482" spans="1:23" ht="26.25" customHeight="1">
      <c r="A482" s="89"/>
      <c r="B482" s="89"/>
      <c r="C482" s="324"/>
      <c r="D482" s="316"/>
      <c r="E482" s="316"/>
      <c r="F482" s="316"/>
      <c r="G482" s="316"/>
      <c r="H482" s="112"/>
      <c r="I482" s="313"/>
      <c r="J482" s="89"/>
      <c r="K482" s="324" t="s">
        <v>8554</v>
      </c>
      <c r="L482" s="322" t="s">
        <v>8481</v>
      </c>
      <c r="M482" s="322"/>
      <c r="N482" s="322" t="s">
        <v>8454</v>
      </c>
      <c r="O482" s="116"/>
      <c r="P482" s="322"/>
      <c r="Q482" s="322"/>
      <c r="R482" s="296"/>
      <c r="S482" s="116"/>
      <c r="T482" s="89"/>
      <c r="U482" s="324" t="s">
        <v>8168</v>
      </c>
      <c r="V482" s="306" t="s">
        <v>8329</v>
      </c>
      <c r="W482" s="17"/>
    </row>
    <row r="483" spans="1:23" ht="26.25" customHeight="1">
      <c r="A483" s="89"/>
      <c r="B483" s="89"/>
      <c r="C483" s="89"/>
      <c r="D483" s="316"/>
      <c r="E483" s="316"/>
      <c r="F483" s="316"/>
      <c r="G483" s="316"/>
      <c r="H483" s="112"/>
      <c r="I483" s="313"/>
      <c r="J483" s="89"/>
      <c r="K483" s="103" t="s">
        <v>8395</v>
      </c>
      <c r="L483" s="319" t="s">
        <v>8359</v>
      </c>
      <c r="M483" s="322" t="s">
        <v>8290</v>
      </c>
      <c r="N483" s="322" t="s">
        <v>8322</v>
      </c>
      <c r="O483" s="89"/>
      <c r="P483" s="322"/>
      <c r="Q483" s="306"/>
      <c r="R483" s="296"/>
      <c r="S483" s="116"/>
      <c r="T483" s="89"/>
      <c r="U483" s="324" t="s">
        <v>8346</v>
      </c>
      <c r="V483" s="312"/>
      <c r="W483" s="17"/>
    </row>
    <row r="484" spans="1:23" ht="26.25" customHeight="1">
      <c r="A484" s="89"/>
      <c r="B484" s="89"/>
      <c r="C484" s="89"/>
      <c r="D484" s="316"/>
      <c r="E484" s="316"/>
      <c r="F484" s="316"/>
      <c r="G484" s="316"/>
      <c r="H484" s="112"/>
      <c r="I484" s="314"/>
      <c r="J484" s="89"/>
      <c r="K484" s="319" t="s">
        <v>7731</v>
      </c>
      <c r="L484" s="116" t="s">
        <v>8479</v>
      </c>
      <c r="M484" s="319"/>
      <c r="N484" s="322" t="s">
        <v>8356</v>
      </c>
      <c r="O484" s="322"/>
      <c r="P484" s="322"/>
      <c r="Q484" s="306"/>
      <c r="R484" s="306" t="s">
        <v>8463</v>
      </c>
      <c r="S484" s="116"/>
      <c r="T484" s="116"/>
      <c r="U484" s="116"/>
      <c r="V484" s="116" t="s">
        <v>8286</v>
      </c>
      <c r="W484" s="17"/>
    </row>
    <row r="485" spans="1:23" ht="26.25" customHeight="1">
      <c r="A485" s="89"/>
      <c r="B485" s="89"/>
      <c r="C485" s="89"/>
      <c r="D485" s="316"/>
      <c r="E485" s="316"/>
      <c r="F485" s="316"/>
      <c r="G485" s="316"/>
      <c r="H485" s="112"/>
      <c r="I485" s="314"/>
      <c r="J485" s="315"/>
      <c r="K485" s="321" t="s">
        <v>8553</v>
      </c>
      <c r="L485" s="116" t="s">
        <v>8556</v>
      </c>
      <c r="M485" s="319"/>
      <c r="N485" s="293" t="s">
        <v>8541</v>
      </c>
      <c r="O485" s="322" t="s">
        <v>8459</v>
      </c>
      <c r="P485" s="296"/>
      <c r="Q485" s="116"/>
      <c r="R485" s="296"/>
      <c r="S485" s="116"/>
      <c r="T485" s="89"/>
      <c r="U485" s="293"/>
      <c r="V485" s="312" t="s">
        <v>8358</v>
      </c>
      <c r="W485" s="17"/>
    </row>
    <row r="486" spans="1:23" ht="26.25" customHeight="1">
      <c r="A486" s="89"/>
      <c r="B486" s="89"/>
      <c r="C486" s="89"/>
      <c r="D486" s="89"/>
      <c r="E486" s="89"/>
      <c r="F486" s="89"/>
      <c r="G486" s="316"/>
      <c r="H486" s="112"/>
      <c r="I486" s="291"/>
      <c r="J486" s="89" t="s">
        <v>8387</v>
      </c>
      <c r="K486" s="89" t="s">
        <v>8550</v>
      </c>
      <c r="L486" s="306"/>
      <c r="M486" s="319"/>
      <c r="N486" s="322"/>
      <c r="O486" s="322"/>
      <c r="P486" s="296"/>
      <c r="Q486" s="316"/>
      <c r="R486" s="306"/>
      <c r="S486" s="116"/>
      <c r="T486" s="89"/>
      <c r="U486" s="293"/>
      <c r="V486" s="298" t="s">
        <v>8362</v>
      </c>
      <c r="W486" s="17"/>
    </row>
    <row r="487" spans="1:23" ht="26.25" customHeight="1">
      <c r="A487" s="89"/>
      <c r="B487" s="89"/>
      <c r="C487" s="89"/>
      <c r="D487" s="89"/>
      <c r="E487" s="89"/>
      <c r="F487" s="89"/>
      <c r="G487" s="89"/>
      <c r="H487" s="112"/>
      <c r="I487" s="291"/>
      <c r="J487" s="89"/>
      <c r="K487" s="89" t="s">
        <v>8551</v>
      </c>
      <c r="L487" s="306"/>
      <c r="M487" s="322" t="s">
        <v>8469</v>
      </c>
      <c r="N487" s="319" t="s">
        <v>8355</v>
      </c>
      <c r="O487" s="322" t="s">
        <v>8391</v>
      </c>
      <c r="P487" s="296"/>
      <c r="Q487" s="316"/>
      <c r="R487" s="306"/>
      <c r="S487" s="89"/>
      <c r="T487" s="89"/>
      <c r="U487" s="293"/>
      <c r="V487" s="298" t="s">
        <v>8398</v>
      </c>
      <c r="W487" s="296"/>
    </row>
    <row r="488" spans="1:23" ht="26.25" customHeight="1">
      <c r="A488" s="89"/>
      <c r="B488" s="89"/>
      <c r="C488" s="89"/>
      <c r="D488" s="89"/>
      <c r="E488" s="292"/>
      <c r="F488" s="89"/>
      <c r="G488" s="116"/>
      <c r="H488" s="112"/>
      <c r="I488" s="89"/>
      <c r="J488" s="89"/>
      <c r="K488" s="89"/>
      <c r="L488" s="309"/>
      <c r="M488" s="319"/>
      <c r="N488" s="293"/>
      <c r="O488" s="322"/>
      <c r="P488" s="116"/>
      <c r="Q488" s="316"/>
      <c r="R488" s="308"/>
      <c r="S488" s="322"/>
      <c r="T488" s="322"/>
      <c r="U488" s="294" t="s">
        <v>8468</v>
      </c>
      <c r="V488" s="116" t="s">
        <v>8451</v>
      </c>
      <c r="W488" s="294"/>
    </row>
    <row r="489" spans="1:23" ht="26.25" customHeight="1">
      <c r="A489" s="89"/>
      <c r="B489" s="89"/>
      <c r="C489" s="89"/>
      <c r="D489" s="89"/>
      <c r="E489" s="292"/>
      <c r="F489" s="89"/>
      <c r="G489" s="89"/>
      <c r="H489" s="112"/>
      <c r="I489" s="89"/>
      <c r="J489" s="89"/>
      <c r="K489" s="89"/>
      <c r="L489" s="116"/>
      <c r="M489" s="322" t="s">
        <v>8472</v>
      </c>
      <c r="N489" s="293" t="s">
        <v>8450</v>
      </c>
      <c r="O489" s="322"/>
      <c r="P489" s="296"/>
      <c r="Q489" s="316"/>
      <c r="R489" s="308"/>
      <c r="S489" s="89"/>
      <c r="T489" s="89"/>
      <c r="U489" s="294"/>
      <c r="V489" s="312" t="s">
        <v>8557</v>
      </c>
      <c r="W489" s="306"/>
    </row>
    <row r="490" spans="1:23" ht="26.25" customHeight="1">
      <c r="A490" s="89"/>
      <c r="B490" s="89"/>
      <c r="C490" s="89"/>
      <c r="D490" s="89"/>
      <c r="E490" s="292"/>
      <c r="F490" s="89"/>
      <c r="G490" s="89"/>
      <c r="H490" s="112"/>
      <c r="I490" s="89"/>
      <c r="J490" s="89"/>
      <c r="K490" s="89"/>
      <c r="L490" s="89"/>
      <c r="M490" s="322"/>
      <c r="N490" s="308" t="s">
        <v>8458</v>
      </c>
      <c r="O490" s="322" t="s">
        <v>8390</v>
      </c>
      <c r="P490" s="296"/>
      <c r="Q490" s="116"/>
      <c r="R490" s="116"/>
      <c r="S490" s="89"/>
      <c r="T490" s="89"/>
      <c r="U490" s="294"/>
      <c r="V490" s="296"/>
      <c r="W490" s="306"/>
    </row>
    <row r="491" spans="1:23" ht="26.25" customHeight="1">
      <c r="A491" s="89"/>
      <c r="B491" s="89"/>
      <c r="C491" s="89"/>
      <c r="D491" s="89"/>
      <c r="E491" s="292"/>
      <c r="F491" s="89"/>
      <c r="G491" s="89"/>
      <c r="H491" s="112"/>
      <c r="I491" s="89"/>
      <c r="J491" s="89"/>
      <c r="K491" s="89"/>
      <c r="L491" s="89"/>
      <c r="M491" s="322" t="s">
        <v>8288</v>
      </c>
      <c r="N491" s="322" t="s">
        <v>8449</v>
      </c>
      <c r="O491" s="322" t="s">
        <v>8246</v>
      </c>
      <c r="P491" s="296"/>
      <c r="Q491" s="316" t="s">
        <v>8190</v>
      </c>
      <c r="R491" s="306"/>
      <c r="S491" s="89"/>
      <c r="T491" s="89"/>
      <c r="U491" s="294"/>
      <c r="V491" s="314"/>
      <c r="W491" s="312"/>
    </row>
    <row r="492" spans="1:23" ht="26.25" customHeight="1">
      <c r="A492" s="89"/>
      <c r="B492" s="89"/>
      <c r="C492" s="89"/>
      <c r="D492" s="89"/>
      <c r="E492" s="292"/>
      <c r="F492" s="89"/>
      <c r="G492" s="89"/>
      <c r="H492" s="112"/>
      <c r="I492" s="89"/>
      <c r="J492" s="89"/>
      <c r="K492" s="89"/>
      <c r="L492" s="322"/>
      <c r="M492" s="314" t="s">
        <v>8544</v>
      </c>
      <c r="N492" s="308" t="s">
        <v>8555</v>
      </c>
      <c r="O492" s="322" t="s">
        <v>8540</v>
      </c>
      <c r="P492" s="296"/>
      <c r="Q492" s="116" t="s">
        <v>8367</v>
      </c>
      <c r="R492" s="306"/>
      <c r="S492" s="89"/>
      <c r="T492" s="314"/>
      <c r="U492" s="316"/>
      <c r="V492" s="316"/>
      <c r="W492" s="312"/>
    </row>
    <row r="493" spans="1:23" ht="26.25" customHeight="1">
      <c r="A493" s="89"/>
      <c r="B493" s="89"/>
      <c r="C493" s="89"/>
      <c r="D493" s="89"/>
      <c r="E493" s="292"/>
      <c r="F493" s="89"/>
      <c r="G493" s="89"/>
      <c r="H493" s="112"/>
      <c r="I493" s="89"/>
      <c r="J493" s="89"/>
      <c r="K493" s="89"/>
      <c r="L493" s="89"/>
      <c r="M493" s="89" t="s">
        <v>8546</v>
      </c>
      <c r="N493" s="309"/>
      <c r="O493" s="322" t="s">
        <v>8324</v>
      </c>
      <c r="P493" s="296"/>
      <c r="Q493" s="89"/>
      <c r="R493" s="89"/>
      <c r="S493" s="89"/>
      <c r="T493" s="314"/>
      <c r="U493" s="316"/>
      <c r="V493" s="316"/>
      <c r="W493" s="312" t="s">
        <v>8396</v>
      </c>
    </row>
    <row r="494" spans="1:23" ht="26.25" customHeight="1">
      <c r="A494" s="284"/>
      <c r="B494" s="284"/>
      <c r="C494" s="284"/>
      <c r="D494" s="284"/>
      <c r="E494" s="284"/>
      <c r="F494" s="284"/>
      <c r="G494" s="284"/>
      <c r="H494" s="112"/>
      <c r="I494" s="284"/>
      <c r="J494" s="284"/>
      <c r="K494" s="284"/>
      <c r="L494" s="284"/>
      <c r="M494" s="284" t="s">
        <v>8547</v>
      </c>
      <c r="N494" s="284"/>
      <c r="O494" s="322" t="s">
        <v>8448</v>
      </c>
      <c r="P494" s="322"/>
      <c r="Q494" s="284"/>
      <c r="R494" s="284"/>
      <c r="S494" s="284"/>
      <c r="T494" s="314"/>
      <c r="U494" s="316"/>
      <c r="V494" s="316"/>
      <c r="W494" s="312" t="s">
        <v>8365</v>
      </c>
    </row>
    <row r="495" spans="1:23" ht="26.25" customHeight="1">
      <c r="A495" s="284"/>
      <c r="B495" s="284"/>
      <c r="C495" s="284"/>
      <c r="D495" s="284"/>
      <c r="E495" s="284"/>
      <c r="F495" s="284"/>
      <c r="G495" s="284"/>
      <c r="H495" s="112"/>
      <c r="I495" s="284"/>
      <c r="J495" s="284"/>
      <c r="K495" s="284"/>
      <c r="L495" s="284"/>
      <c r="M495" s="284"/>
      <c r="N495" s="284"/>
      <c r="O495" s="284" t="s">
        <v>8475</v>
      </c>
      <c r="P495" s="322"/>
      <c r="Q495" s="284"/>
      <c r="R495" s="284"/>
      <c r="S495" s="284"/>
      <c r="T495" s="314"/>
      <c r="U495" s="316"/>
      <c r="V495" s="316"/>
      <c r="W495" s="293" t="s">
        <v>8552</v>
      </c>
    </row>
    <row r="496" spans="1:23" ht="26.25" customHeight="1">
      <c r="A496" s="284"/>
      <c r="B496" s="284"/>
      <c r="C496" s="284"/>
      <c r="D496" s="284"/>
      <c r="E496" s="284"/>
      <c r="F496" s="284"/>
      <c r="G496" s="284"/>
      <c r="H496" s="112"/>
      <c r="I496" s="284"/>
      <c r="J496" s="284"/>
      <c r="K496" s="284"/>
      <c r="L496" s="284"/>
      <c r="M496" s="284"/>
      <c r="N496" s="284"/>
      <c r="O496" s="284" t="s">
        <v>8569</v>
      </c>
      <c r="P496" s="322"/>
      <c r="Q496" s="284"/>
      <c r="R496" s="284"/>
      <c r="S496" s="284"/>
      <c r="T496" s="314"/>
      <c r="U496" s="316"/>
      <c r="V496" s="316"/>
      <c r="W496" s="116" t="s">
        <v>7713</v>
      </c>
    </row>
    <row r="497" spans="1:23" ht="26.25" customHeight="1">
      <c r="A497" s="284"/>
      <c r="B497" s="284"/>
      <c r="C497" s="284"/>
      <c r="D497" s="284"/>
      <c r="E497" s="284"/>
      <c r="F497" s="284"/>
      <c r="G497" s="284"/>
      <c r="H497" s="112"/>
      <c r="I497" s="284"/>
      <c r="J497" s="284"/>
      <c r="K497" s="284"/>
      <c r="L497" s="284"/>
      <c r="M497" s="308"/>
      <c r="N497" s="284"/>
      <c r="O497" s="284"/>
      <c r="P497" s="322"/>
      <c r="Q497" s="284"/>
      <c r="R497" s="284"/>
      <c r="S497" s="284"/>
      <c r="T497" s="314"/>
      <c r="U497" s="314"/>
      <c r="V497" s="316"/>
      <c r="W497" s="314"/>
    </row>
    <row r="498" spans="1:23" ht="26.25" customHeight="1">
      <c r="A498" s="284"/>
      <c r="B498" s="284"/>
      <c r="C498" s="284"/>
      <c r="D498" s="284"/>
      <c r="E498" s="284"/>
      <c r="F498" s="284"/>
      <c r="G498" s="284"/>
      <c r="H498" s="112"/>
      <c r="I498" s="284"/>
      <c r="J498" s="284"/>
      <c r="K498" s="284"/>
      <c r="L498" s="284"/>
      <c r="M498" s="308"/>
      <c r="N498" s="284"/>
      <c r="O498" s="284"/>
      <c r="P498" s="322"/>
      <c r="Q498" s="284"/>
      <c r="R498" s="284"/>
      <c r="S498" s="284"/>
      <c r="T498" s="314"/>
      <c r="U498" s="314"/>
      <c r="V498" s="316"/>
      <c r="W498" s="314" t="s">
        <v>8220</v>
      </c>
    </row>
    <row r="499" spans="1:23" ht="26.25" customHeight="1">
      <c r="A499" s="284"/>
      <c r="B499" s="284"/>
      <c r="C499" s="284"/>
      <c r="D499" s="284"/>
      <c r="E499" s="284"/>
      <c r="F499" s="284"/>
      <c r="G499" s="284"/>
      <c r="H499" s="112"/>
      <c r="I499" s="284"/>
      <c r="J499" s="284"/>
      <c r="K499" s="284"/>
      <c r="L499" s="308"/>
      <c r="M499" s="322" t="s">
        <v>8477</v>
      </c>
      <c r="N499" s="284"/>
      <c r="O499" s="284"/>
      <c r="P499" s="322"/>
      <c r="Q499" s="284"/>
      <c r="R499" s="284"/>
      <c r="S499" s="284"/>
      <c r="T499" s="314"/>
      <c r="U499" s="314"/>
      <c r="V499" s="316"/>
      <c r="W499" s="314" t="s">
        <v>8221</v>
      </c>
    </row>
    <row r="500" spans="1:23" ht="26.25" customHeight="1">
      <c r="A500" s="284"/>
      <c r="B500" s="284"/>
      <c r="C500" s="284"/>
      <c r="D500" s="284"/>
      <c r="E500" s="284"/>
      <c r="F500" s="284"/>
      <c r="G500" s="284"/>
      <c r="H500" s="112"/>
      <c r="I500" s="284"/>
      <c r="J500" s="284"/>
      <c r="K500" s="284"/>
      <c r="L500" s="308"/>
      <c r="M500" s="308"/>
      <c r="N500" s="284"/>
      <c r="O500" s="284"/>
      <c r="P500" s="284"/>
      <c r="Q500" s="284"/>
      <c r="R500" s="284"/>
      <c r="S500" s="284"/>
      <c r="T500" s="314"/>
      <c r="U500" s="314"/>
      <c r="V500" s="316"/>
      <c r="W500" s="314"/>
    </row>
    <row r="501" spans="1:23" ht="26.25" customHeight="1">
      <c r="A501" s="284"/>
      <c r="B501" s="284"/>
      <c r="C501" s="284"/>
      <c r="D501" s="284"/>
      <c r="E501" s="284"/>
      <c r="F501" s="284"/>
      <c r="G501" s="284"/>
      <c r="H501" s="112"/>
      <c r="I501" s="284"/>
      <c r="J501" s="284"/>
      <c r="K501" s="284"/>
      <c r="L501" s="308"/>
      <c r="M501" s="308"/>
      <c r="N501" s="284"/>
      <c r="O501" s="284"/>
      <c r="P501" s="284"/>
      <c r="Q501" s="284"/>
      <c r="R501" s="284"/>
      <c r="S501" s="284"/>
      <c r="T501" s="314"/>
      <c r="U501" s="314"/>
      <c r="V501" s="316"/>
      <c r="W501" s="314" t="s">
        <v>8189</v>
      </c>
    </row>
    <row r="502" spans="1:23" ht="26.25" customHeight="1">
      <c r="A502" s="284"/>
      <c r="B502" s="284"/>
      <c r="C502" s="284"/>
      <c r="D502" s="284"/>
      <c r="E502" s="284"/>
      <c r="F502" s="284"/>
      <c r="G502" s="284"/>
      <c r="H502" s="112"/>
      <c r="I502" s="284"/>
      <c r="J502" s="284"/>
      <c r="K502" s="284"/>
      <c r="L502" s="308"/>
      <c r="M502" s="308"/>
      <c r="N502" s="284"/>
      <c r="O502" s="284"/>
      <c r="P502" s="284"/>
      <c r="Q502" s="284"/>
      <c r="R502" s="284"/>
      <c r="S502" s="284"/>
      <c r="T502" s="284"/>
      <c r="U502" s="314"/>
      <c r="V502" s="316"/>
      <c r="W502" s="314" t="s">
        <v>8217</v>
      </c>
    </row>
    <row r="503" spans="1:23" ht="26.25" customHeight="1">
      <c r="A503" s="284"/>
      <c r="B503" s="284"/>
      <c r="C503" s="284"/>
      <c r="D503" s="284"/>
      <c r="E503" s="284"/>
      <c r="F503" s="284"/>
      <c r="G503" s="284"/>
      <c r="H503" s="112"/>
      <c r="I503" s="284"/>
      <c r="J503" s="284"/>
      <c r="K503" s="284"/>
      <c r="L503" s="308"/>
      <c r="M503" s="308"/>
      <c r="N503" s="284"/>
      <c r="O503" s="284"/>
      <c r="P503" s="284"/>
      <c r="Q503" s="284"/>
      <c r="R503" s="284"/>
      <c r="S503" s="284"/>
      <c r="T503" s="284"/>
      <c r="U503" s="284"/>
      <c r="V503" s="316"/>
      <c r="W503" s="314" t="s">
        <v>8452</v>
      </c>
    </row>
    <row r="504" spans="1:23" ht="26.25" customHeight="1">
      <c r="A504" s="284"/>
      <c r="B504" s="284"/>
      <c r="C504" s="284"/>
      <c r="D504" s="284"/>
      <c r="E504" s="284"/>
      <c r="F504" s="284"/>
      <c r="G504" s="284"/>
      <c r="H504" s="112"/>
      <c r="I504" s="284"/>
      <c r="J504" s="284"/>
      <c r="K504" s="284"/>
      <c r="L504" s="308"/>
      <c r="M504" s="308"/>
      <c r="N504" s="284"/>
      <c r="O504" s="284"/>
      <c r="P504" s="284"/>
      <c r="Q504" s="284"/>
      <c r="R504" s="284"/>
      <c r="S504" s="284"/>
      <c r="T504" s="284"/>
      <c r="U504" s="284"/>
      <c r="V504" s="312"/>
      <c r="W504" s="314" t="s">
        <v>8325</v>
      </c>
    </row>
    <row r="505" spans="1:23" ht="26.25" customHeight="1">
      <c r="A505" s="284"/>
      <c r="B505" s="284"/>
      <c r="C505" s="284"/>
      <c r="D505" s="284"/>
      <c r="E505" s="284"/>
      <c r="F505" s="284"/>
      <c r="G505" s="284"/>
      <c r="H505" s="112"/>
      <c r="I505" s="284"/>
      <c r="J505" s="284"/>
      <c r="K505" s="284"/>
      <c r="L505" s="284"/>
      <c r="M505" s="322"/>
      <c r="N505" s="322"/>
      <c r="O505" s="284"/>
      <c r="P505" s="284"/>
      <c r="Q505" s="284"/>
      <c r="R505" s="284"/>
      <c r="S505" s="284"/>
      <c r="T505" s="284"/>
      <c r="U505" s="284"/>
      <c r="V505" s="312"/>
      <c r="W505" s="298" t="s">
        <v>8327</v>
      </c>
    </row>
    <row r="506" spans="1:23" ht="26.25" customHeight="1">
      <c r="A506" s="284"/>
      <c r="B506" s="284"/>
      <c r="C506" s="284"/>
      <c r="D506" s="284"/>
      <c r="E506" s="284"/>
      <c r="F506" s="284"/>
      <c r="G506" s="284"/>
      <c r="H506" s="112"/>
      <c r="I506" s="284"/>
      <c r="J506" s="284"/>
      <c r="K506" s="284"/>
      <c r="L506" s="284"/>
      <c r="M506" s="322"/>
      <c r="N506" s="322"/>
      <c r="O506" s="284"/>
      <c r="P506" s="284"/>
      <c r="Q506" s="284"/>
      <c r="R506" s="284"/>
      <c r="S506" s="284"/>
      <c r="T506" s="284"/>
      <c r="U506" s="284"/>
      <c r="V506" s="312"/>
      <c r="W506" s="296" t="s">
        <v>8328</v>
      </c>
    </row>
    <row r="507" spans="1:23" ht="26.25" customHeight="1">
      <c r="A507" s="284"/>
      <c r="B507" s="284"/>
      <c r="C507" s="284"/>
      <c r="D507" s="284"/>
      <c r="E507" s="284"/>
      <c r="F507" s="284"/>
      <c r="G507" s="284"/>
      <c r="H507" s="112"/>
      <c r="I507" s="284"/>
      <c r="J507" s="284"/>
      <c r="K507" s="284"/>
      <c r="L507" s="284"/>
      <c r="M507" s="322"/>
      <c r="N507" s="322"/>
      <c r="O507" s="284"/>
      <c r="P507" s="284"/>
      <c r="Q507" s="284"/>
      <c r="R507" s="284"/>
      <c r="S507" s="284"/>
      <c r="T507" s="284"/>
      <c r="U507" s="284"/>
      <c r="V507" s="312"/>
      <c r="W507" s="284" t="s">
        <v>8357</v>
      </c>
    </row>
    <row r="508" spans="1:23" ht="26.25" customHeight="1">
      <c r="A508" s="284"/>
      <c r="B508" s="284"/>
      <c r="C508" s="284"/>
      <c r="D508" s="284"/>
      <c r="E508" s="284"/>
      <c r="F508" s="284"/>
      <c r="G508" s="284"/>
      <c r="H508" s="112"/>
      <c r="I508" s="284"/>
      <c r="J508" s="284"/>
      <c r="K508" s="284"/>
      <c r="L508" s="284"/>
      <c r="M508" s="322"/>
      <c r="N508" s="322"/>
      <c r="O508" s="284"/>
      <c r="P508" s="284"/>
      <c r="Q508" s="284"/>
      <c r="R508" s="284"/>
      <c r="S508" s="284"/>
      <c r="T508" s="284"/>
      <c r="U508" s="284"/>
      <c r="V508" s="312"/>
      <c r="W508" s="284" t="s">
        <v>8361</v>
      </c>
    </row>
    <row r="509" spans="1:23" ht="26.25" customHeight="1">
      <c r="A509" s="284"/>
      <c r="B509" s="284"/>
      <c r="C509" s="284"/>
      <c r="D509" s="284"/>
      <c r="E509" s="284"/>
      <c r="F509" s="284"/>
      <c r="G509" s="284"/>
      <c r="H509" s="112"/>
      <c r="I509" s="284"/>
      <c r="J509" s="284"/>
      <c r="K509" s="284"/>
      <c r="L509" s="284"/>
      <c r="M509" s="322"/>
      <c r="N509" s="322"/>
      <c r="O509" s="284"/>
      <c r="P509" s="284"/>
      <c r="Q509" s="284"/>
      <c r="R509" s="284"/>
      <c r="S509" s="284"/>
      <c r="T509" s="284"/>
      <c r="U509" s="284"/>
      <c r="V509" s="312"/>
      <c r="W509" s="284" t="s">
        <v>8364</v>
      </c>
    </row>
    <row r="510" spans="1:23" ht="26.25" customHeight="1">
      <c r="A510" s="284"/>
      <c r="B510" s="284"/>
      <c r="C510" s="284"/>
      <c r="D510" s="284"/>
      <c r="E510" s="284"/>
      <c r="F510" s="284"/>
      <c r="G510" s="284"/>
      <c r="H510" s="112"/>
      <c r="I510" s="284"/>
      <c r="J510" s="284"/>
      <c r="K510" s="284"/>
      <c r="L510" s="284"/>
      <c r="M510" s="322"/>
      <c r="N510" s="322"/>
      <c r="O510" s="284"/>
      <c r="P510" s="284"/>
      <c r="Q510" s="284"/>
      <c r="R510" s="284"/>
      <c r="S510" s="284"/>
      <c r="T510" s="284"/>
      <c r="U510" s="284"/>
      <c r="V510" s="312"/>
      <c r="W510" s="284" t="s">
        <v>8366</v>
      </c>
    </row>
    <row r="511" spans="1:23" ht="26.25" customHeight="1">
      <c r="A511" s="284"/>
      <c r="B511" s="284"/>
      <c r="C511" s="284"/>
      <c r="D511" s="284"/>
      <c r="E511" s="284"/>
      <c r="F511" s="284"/>
      <c r="G511" s="284"/>
      <c r="H511" s="112"/>
      <c r="I511" s="284"/>
      <c r="J511" s="284"/>
      <c r="K511" s="284"/>
      <c r="L511" s="284"/>
      <c r="M511" s="322"/>
      <c r="N511" s="322"/>
      <c r="O511" s="284"/>
      <c r="P511" s="284"/>
      <c r="Q511" s="284"/>
      <c r="R511" s="284"/>
      <c r="S511" s="284"/>
      <c r="T511" s="284"/>
      <c r="U511" s="284"/>
      <c r="V511" s="284"/>
      <c r="W511" s="284" t="s">
        <v>8447</v>
      </c>
    </row>
    <row r="512" spans="1:23" ht="26.25" customHeight="1">
      <c r="A512" s="284"/>
      <c r="B512" s="284"/>
      <c r="C512" s="284"/>
      <c r="D512" s="284"/>
      <c r="E512" s="284"/>
      <c r="F512" s="284"/>
      <c r="G512" s="284"/>
      <c r="H512" s="112"/>
      <c r="I512" s="284"/>
      <c r="J512" s="284"/>
      <c r="K512" s="284"/>
      <c r="L512" s="284"/>
      <c r="M512" s="322"/>
      <c r="N512" s="322"/>
      <c r="O512" s="284"/>
      <c r="P512" s="284"/>
      <c r="Q512" s="284"/>
      <c r="R512" s="284"/>
      <c r="S512" s="284"/>
      <c r="T512" s="284"/>
      <c r="U512" s="284"/>
      <c r="V512" s="284"/>
      <c r="W512" s="284" t="s">
        <v>8397</v>
      </c>
    </row>
    <row r="513" spans="1:23" ht="26.25" customHeight="1">
      <c r="A513" s="284"/>
      <c r="B513" s="284"/>
      <c r="C513" s="284"/>
      <c r="D513" s="284"/>
      <c r="E513" s="284"/>
      <c r="F513" s="284"/>
      <c r="G513" s="284"/>
      <c r="H513" s="112"/>
      <c r="I513" s="284"/>
      <c r="J513" s="284"/>
      <c r="K513" s="284"/>
      <c r="L513" s="284"/>
      <c r="M513" s="284"/>
      <c r="N513" s="284"/>
      <c r="O513" s="284"/>
      <c r="P513" s="284"/>
      <c r="Q513" s="284"/>
      <c r="R513" s="284"/>
      <c r="S513" s="284"/>
      <c r="T513" s="284"/>
      <c r="U513" s="284"/>
      <c r="V513" s="284"/>
      <c r="W513" s="284" t="s">
        <v>8453</v>
      </c>
    </row>
    <row r="514" spans="1:23" ht="26.25" customHeight="1">
      <c r="A514" s="284"/>
      <c r="B514" s="284"/>
      <c r="C514" s="284"/>
      <c r="D514" s="284"/>
      <c r="E514" s="284"/>
      <c r="F514" s="284"/>
      <c r="G514" s="284"/>
      <c r="H514" s="112"/>
      <c r="I514" s="284"/>
      <c r="J514" s="284"/>
      <c r="K514" s="284"/>
      <c r="L514" s="284"/>
      <c r="M514" s="284"/>
      <c r="N514" s="284"/>
      <c r="O514" s="284"/>
      <c r="P514" s="284"/>
      <c r="Q514" s="284"/>
      <c r="R514" s="284"/>
      <c r="S514" s="284"/>
      <c r="T514" s="284"/>
      <c r="U514" s="284"/>
      <c r="V514" s="284"/>
      <c r="W514" s="284"/>
    </row>
    <row r="515" spans="1:23" ht="26.25" customHeight="1">
      <c r="A515" s="284"/>
      <c r="B515" s="284"/>
      <c r="C515" s="284"/>
      <c r="D515" s="284"/>
      <c r="E515" s="284"/>
      <c r="F515" s="284"/>
      <c r="G515" s="284"/>
      <c r="H515" s="112"/>
      <c r="I515" s="284"/>
      <c r="J515" s="284"/>
      <c r="K515" s="284"/>
      <c r="L515" s="284"/>
      <c r="M515" s="284"/>
      <c r="N515" s="284"/>
      <c r="O515" s="284"/>
      <c r="P515" s="284"/>
      <c r="Q515" s="284"/>
      <c r="R515" s="284"/>
      <c r="S515" s="284"/>
      <c r="T515" s="284"/>
      <c r="U515" s="284"/>
      <c r="V515" s="284"/>
      <c r="W515" s="284"/>
    </row>
    <row r="516" spans="1:23" ht="26.25" customHeight="1">
      <c r="A516" s="284"/>
      <c r="B516" s="284"/>
      <c r="C516" s="284"/>
      <c r="D516" s="284"/>
      <c r="E516" s="284"/>
      <c r="F516" s="284"/>
      <c r="G516" s="284"/>
      <c r="H516" s="112"/>
      <c r="I516" s="284"/>
      <c r="J516" s="284"/>
      <c r="K516" s="284"/>
      <c r="L516" s="284"/>
      <c r="M516" s="284"/>
      <c r="N516" s="284"/>
      <c r="O516" s="284"/>
      <c r="P516" s="284"/>
      <c r="Q516" s="284"/>
      <c r="R516" s="284"/>
      <c r="S516" s="284"/>
      <c r="T516" s="284"/>
      <c r="U516" s="284"/>
      <c r="V516" s="284"/>
      <c r="W516" s="284"/>
    </row>
    <row r="517" spans="1:23" ht="26.25" customHeight="1">
      <c r="A517" s="284"/>
      <c r="B517" s="284"/>
      <c r="C517" s="284"/>
      <c r="D517" s="284"/>
      <c r="E517" s="284"/>
      <c r="F517" s="284"/>
      <c r="G517" s="284"/>
      <c r="H517" s="112"/>
      <c r="I517" s="284"/>
      <c r="J517" s="284"/>
      <c r="K517" s="284"/>
      <c r="L517" s="284"/>
      <c r="M517" s="284"/>
      <c r="N517" s="284"/>
      <c r="O517" s="284"/>
      <c r="P517" s="284"/>
      <c r="Q517" s="284"/>
      <c r="R517" s="284"/>
      <c r="S517" s="284"/>
      <c r="T517" s="284"/>
      <c r="U517" s="284"/>
      <c r="V517" s="284"/>
      <c r="W517" s="284"/>
    </row>
    <row r="518" spans="1:23" ht="26.25" customHeight="1">
      <c r="A518" s="284"/>
      <c r="B518" s="284"/>
      <c r="C518" s="284"/>
      <c r="D518" s="284"/>
      <c r="E518" s="284"/>
      <c r="F518" s="284"/>
      <c r="G518" s="284"/>
      <c r="H518" s="112"/>
      <c r="I518" s="284"/>
      <c r="J518" s="284"/>
      <c r="K518" s="284"/>
      <c r="L518" s="284"/>
      <c r="M518" s="284"/>
      <c r="N518" s="284"/>
      <c r="O518" s="284"/>
      <c r="P518" s="284"/>
      <c r="Q518" s="284"/>
      <c r="R518" s="284"/>
      <c r="S518" s="284"/>
      <c r="T518" s="284"/>
      <c r="U518" s="284"/>
      <c r="V518" s="284"/>
      <c r="W518" s="284"/>
    </row>
    <row r="519" spans="1:23" ht="26.25" customHeight="1">
      <c r="A519" s="284"/>
      <c r="B519" s="284"/>
      <c r="C519" s="284"/>
      <c r="D519" s="284"/>
      <c r="E519" s="284"/>
      <c r="F519" s="284"/>
      <c r="G519" s="284"/>
      <c r="H519" s="112"/>
      <c r="I519" s="284"/>
      <c r="J519" s="284"/>
      <c r="K519" s="284"/>
      <c r="L519" s="284"/>
      <c r="M519" s="284"/>
      <c r="N519" s="284"/>
      <c r="O519" s="284"/>
      <c r="P519" s="284"/>
      <c r="Q519" s="284"/>
      <c r="R519" s="284"/>
      <c r="S519" s="284"/>
      <c r="T519" s="284"/>
      <c r="U519" s="284"/>
      <c r="V519" s="284"/>
      <c r="W519" s="284"/>
    </row>
    <row r="520" spans="1:23" ht="26.25" customHeight="1">
      <c r="A520" s="284"/>
      <c r="B520" s="284"/>
      <c r="C520" s="284"/>
      <c r="D520" s="284"/>
      <c r="E520" s="284"/>
      <c r="F520" s="284"/>
      <c r="G520" s="284"/>
      <c r="H520" s="112"/>
      <c r="I520" s="284"/>
      <c r="J520" s="284"/>
      <c r="K520" s="284"/>
      <c r="L520" s="284"/>
      <c r="M520" s="284"/>
      <c r="N520" s="284"/>
      <c r="O520" s="284"/>
      <c r="P520" s="284"/>
      <c r="Q520" s="284"/>
      <c r="R520" s="284"/>
      <c r="S520" s="284"/>
      <c r="T520" s="284"/>
      <c r="U520" s="284"/>
      <c r="V520" s="284"/>
      <c r="W520" s="284"/>
    </row>
    <row r="521" spans="1:23" ht="26.25" customHeight="1">
      <c r="A521" s="284"/>
      <c r="B521" s="284"/>
      <c r="C521" s="284"/>
      <c r="D521" s="284"/>
      <c r="E521" s="284"/>
      <c r="F521" s="284"/>
      <c r="G521" s="284"/>
      <c r="H521" s="112"/>
      <c r="I521" s="284"/>
      <c r="J521" s="284"/>
      <c r="K521" s="284"/>
      <c r="L521" s="284"/>
      <c r="M521" s="284"/>
      <c r="N521" s="284"/>
      <c r="O521" s="284"/>
      <c r="P521" s="284"/>
      <c r="Q521" s="284"/>
      <c r="R521" s="284"/>
      <c r="S521" s="284"/>
      <c r="T521" s="284"/>
      <c r="U521" s="284"/>
      <c r="V521" s="284"/>
      <c r="W521" s="284"/>
    </row>
    <row r="522" spans="1:23" ht="26.25" customHeight="1">
      <c r="A522" s="284"/>
      <c r="B522" s="284"/>
      <c r="C522" s="284"/>
      <c r="D522" s="284"/>
      <c r="E522" s="284"/>
      <c r="F522" s="284"/>
      <c r="G522" s="284"/>
      <c r="H522" s="112"/>
      <c r="I522" s="284"/>
      <c r="J522" s="284"/>
      <c r="K522" s="284"/>
      <c r="L522" s="284"/>
      <c r="M522" s="284"/>
      <c r="N522" s="284"/>
      <c r="O522" s="284"/>
      <c r="P522" s="284"/>
      <c r="Q522" s="284"/>
      <c r="R522" s="284"/>
      <c r="S522" s="284"/>
      <c r="T522" s="284"/>
      <c r="U522" s="284"/>
      <c r="V522" s="284"/>
      <c r="W522" s="284"/>
    </row>
    <row r="523" spans="1:23" ht="26.25" customHeight="1">
      <c r="A523" s="284"/>
      <c r="B523" s="284"/>
      <c r="C523" s="284"/>
      <c r="D523" s="284"/>
      <c r="E523" s="284"/>
      <c r="F523" s="284"/>
      <c r="G523" s="284"/>
      <c r="H523" s="112"/>
      <c r="I523" s="284"/>
      <c r="J523" s="284"/>
      <c r="K523" s="284"/>
      <c r="L523" s="284"/>
      <c r="M523" s="284"/>
      <c r="N523" s="284"/>
      <c r="O523" s="284"/>
      <c r="P523" s="284"/>
      <c r="Q523" s="284"/>
      <c r="R523" s="284"/>
      <c r="S523" s="284"/>
      <c r="T523" s="284"/>
      <c r="U523" s="284"/>
      <c r="V523" s="284"/>
      <c r="W523" s="284"/>
    </row>
  </sheetData>
  <phoneticPr fontId="1" type="noConversion"/>
  <pageMargins left="0" right="0" top="0" bottom="0" header="0" footer="0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selection activeCell="B52" sqref="B52"/>
    </sheetView>
  </sheetViews>
  <sheetFormatPr defaultColWidth="9" defaultRowHeight="15"/>
  <cols>
    <col min="1" max="1" width="50.85546875" style="1" customWidth="1"/>
    <col min="2" max="2" width="19.140625" style="6" customWidth="1"/>
    <col min="3" max="3" width="15.42578125" style="6" customWidth="1"/>
    <col min="4" max="16384" width="9" style="1"/>
  </cols>
  <sheetData>
    <row r="1" spans="1:3" ht="45.75" customHeight="1">
      <c r="A1" s="326" t="s">
        <v>203</v>
      </c>
      <c r="B1" s="326"/>
    </row>
    <row r="2" spans="1:3" ht="39" customHeight="1">
      <c r="A2" s="3" t="s">
        <v>204</v>
      </c>
      <c r="B2" s="21" t="s">
        <v>851</v>
      </c>
      <c r="C2" s="3" t="s">
        <v>391</v>
      </c>
    </row>
    <row r="3" spans="1:3" hidden="1">
      <c r="A3" s="2" t="s">
        <v>206</v>
      </c>
      <c r="B3" s="5">
        <v>45420</v>
      </c>
      <c r="C3" s="7"/>
    </row>
    <row r="4" spans="1:3" hidden="1">
      <c r="A4" s="2" t="s">
        <v>207</v>
      </c>
      <c r="B4" s="5">
        <v>45419</v>
      </c>
      <c r="C4" s="7"/>
    </row>
    <row r="5" spans="1:3" hidden="1">
      <c r="A5" s="2" t="s">
        <v>208</v>
      </c>
      <c r="B5" s="7"/>
      <c r="C5" s="7"/>
    </row>
    <row r="6" spans="1:3" hidden="1">
      <c r="A6" s="2" t="s">
        <v>205</v>
      </c>
      <c r="B6" s="7"/>
      <c r="C6" s="7"/>
    </row>
    <row r="7" spans="1:3" ht="23.25" hidden="1" customHeight="1">
      <c r="A7" s="2" t="s">
        <v>338</v>
      </c>
      <c r="B7" s="5" t="s">
        <v>339</v>
      </c>
      <c r="C7" s="5" t="s">
        <v>394</v>
      </c>
    </row>
    <row r="8" spans="1:3" s="10" customFormat="1" ht="23.25" hidden="1" customHeight="1">
      <c r="A8" s="4" t="s">
        <v>395</v>
      </c>
      <c r="B8" s="9" t="s">
        <v>396</v>
      </c>
      <c r="C8" s="325">
        <v>45443</v>
      </c>
    </row>
    <row r="9" spans="1:3" s="10" customFormat="1" ht="23.25" hidden="1" customHeight="1">
      <c r="A9" s="4" t="s">
        <v>397</v>
      </c>
      <c r="B9" s="11" t="s">
        <v>398</v>
      </c>
      <c r="C9" s="325"/>
    </row>
    <row r="10" spans="1:3" s="10" customFormat="1" ht="23.25" hidden="1" customHeight="1">
      <c r="A10" s="4" t="s">
        <v>399</v>
      </c>
      <c r="B10" s="12" t="s">
        <v>400</v>
      </c>
      <c r="C10" s="13" t="s">
        <v>401</v>
      </c>
    </row>
    <row r="11" spans="1:3" s="10" customFormat="1" ht="23.25" hidden="1" customHeight="1">
      <c r="A11" s="4" t="s">
        <v>402</v>
      </c>
      <c r="B11" s="14" t="s">
        <v>403</v>
      </c>
      <c r="C11" s="12" t="s">
        <v>431</v>
      </c>
    </row>
    <row r="12" spans="1:3" ht="23.25" hidden="1" customHeight="1">
      <c r="A12" s="2" t="s">
        <v>340</v>
      </c>
      <c r="B12" s="5"/>
      <c r="C12" s="7" t="s">
        <v>432</v>
      </c>
    </row>
    <row r="13" spans="1:3" s="10" customFormat="1" ht="23.25" hidden="1" customHeight="1">
      <c r="A13" s="2" t="s">
        <v>404</v>
      </c>
      <c r="B13" s="14"/>
      <c r="C13" s="14"/>
    </row>
    <row r="14" spans="1:3" ht="23.25" hidden="1" customHeight="1">
      <c r="A14" s="2" t="s">
        <v>393</v>
      </c>
      <c r="B14" s="5" t="s">
        <v>433</v>
      </c>
      <c r="C14" s="7"/>
    </row>
    <row r="15" spans="1:3" ht="23.25" hidden="1" customHeight="1">
      <c r="A15" s="2" t="s">
        <v>392</v>
      </c>
      <c r="B15" s="7"/>
      <c r="C15" s="7"/>
    </row>
    <row r="16" spans="1:3" ht="23.25" hidden="1" customHeight="1">
      <c r="A16" s="2" t="s">
        <v>843</v>
      </c>
      <c r="B16" s="8" t="s">
        <v>847</v>
      </c>
      <c r="C16" s="8">
        <v>45526</v>
      </c>
    </row>
    <row r="17" spans="1:3" ht="23.25" hidden="1" customHeight="1">
      <c r="A17" s="2" t="s">
        <v>844</v>
      </c>
      <c r="B17" s="8" t="s">
        <v>848</v>
      </c>
      <c r="C17" s="8"/>
    </row>
    <row r="18" spans="1:3" ht="23.25" hidden="1" customHeight="1">
      <c r="A18" s="2" t="s">
        <v>846</v>
      </c>
      <c r="B18" s="7" t="s">
        <v>849</v>
      </c>
      <c r="C18" s="7"/>
    </row>
    <row r="19" spans="1:3" ht="23.25" hidden="1" customHeight="1">
      <c r="A19" s="2" t="s">
        <v>845</v>
      </c>
      <c r="B19" s="7" t="s">
        <v>850</v>
      </c>
      <c r="C19" s="7"/>
    </row>
    <row r="20" spans="1:3" ht="23.25" hidden="1" customHeight="1">
      <c r="A20" s="2" t="s">
        <v>921</v>
      </c>
      <c r="B20" s="7" t="s">
        <v>924</v>
      </c>
      <c r="C20" s="7"/>
    </row>
    <row r="21" spans="1:3" ht="23.25" hidden="1" customHeight="1">
      <c r="A21" s="2" t="s">
        <v>920</v>
      </c>
      <c r="B21" s="7" t="s">
        <v>922</v>
      </c>
      <c r="C21" s="7"/>
    </row>
    <row r="22" spans="1:3" ht="23.25" hidden="1" customHeight="1">
      <c r="A22" s="2" t="s">
        <v>923</v>
      </c>
      <c r="B22" s="7" t="s">
        <v>925</v>
      </c>
      <c r="C22" s="7"/>
    </row>
    <row r="23" spans="1:3" ht="23.25" hidden="1" customHeight="1">
      <c r="A23" s="2" t="s">
        <v>1044</v>
      </c>
      <c r="B23" s="7" t="s">
        <v>1045</v>
      </c>
      <c r="C23" s="7"/>
    </row>
    <row r="24" spans="1:3" ht="23.25" hidden="1" customHeight="1">
      <c r="A24" s="2" t="s">
        <v>1259</v>
      </c>
      <c r="B24" s="7" t="s">
        <v>1260</v>
      </c>
      <c r="C24" s="7"/>
    </row>
    <row r="25" spans="1:3" ht="23.25" hidden="1" customHeight="1">
      <c r="A25" s="2" t="s">
        <v>1372</v>
      </c>
      <c r="B25" s="7"/>
      <c r="C25" s="7"/>
    </row>
    <row r="26" spans="1:3" ht="23.25" customHeight="1">
      <c r="A26" s="2" t="s">
        <v>1445</v>
      </c>
      <c r="B26" s="5" t="s">
        <v>1446</v>
      </c>
      <c r="C26" s="7"/>
    </row>
    <row r="27" spans="1:3" ht="23.25" customHeight="1">
      <c r="A27" s="2" t="s">
        <v>1447</v>
      </c>
      <c r="B27" s="7" t="s">
        <v>1448</v>
      </c>
      <c r="C27" s="7"/>
    </row>
    <row r="28" spans="1:3" ht="23.25" customHeight="1">
      <c r="A28" s="2"/>
      <c r="B28" s="7"/>
      <c r="C28" s="7"/>
    </row>
    <row r="29" spans="1:3" ht="23.25" customHeight="1">
      <c r="A29" s="2"/>
      <c r="B29" s="7"/>
      <c r="C29" s="7"/>
    </row>
  </sheetData>
  <mergeCells count="2">
    <mergeCell ref="C8:C9"/>
    <mergeCell ref="A1:B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C27" sqref="C27"/>
    </sheetView>
  </sheetViews>
  <sheetFormatPr defaultRowHeight="15"/>
  <cols>
    <col min="1" max="1" width="36.140625" bestFit="1" customWidth="1"/>
    <col min="2" max="2" width="15.42578125" style="18" bestFit="1" customWidth="1"/>
    <col min="3" max="3" width="133" bestFit="1" customWidth="1"/>
  </cols>
  <sheetData>
    <row r="1" spans="1:3" ht="42.75" customHeight="1">
      <c r="A1" s="327" t="s">
        <v>731</v>
      </c>
      <c r="B1" s="328"/>
      <c r="C1" s="329"/>
    </row>
    <row r="2" spans="1:3" ht="39" customHeight="1">
      <c r="A2" s="19" t="s">
        <v>204</v>
      </c>
      <c r="B2" s="20" t="s">
        <v>708</v>
      </c>
      <c r="C2" s="20" t="s">
        <v>709</v>
      </c>
    </row>
    <row r="3" spans="1:3" ht="16.5">
      <c r="A3" s="16" t="s">
        <v>707</v>
      </c>
      <c r="B3" s="17">
        <v>1</v>
      </c>
      <c r="C3" s="16" t="s">
        <v>732</v>
      </c>
    </row>
    <row r="4" spans="1:3" ht="16.5">
      <c r="A4" s="16" t="s">
        <v>710</v>
      </c>
      <c r="B4" s="17">
        <v>1</v>
      </c>
      <c r="C4" s="16" t="s">
        <v>733</v>
      </c>
    </row>
    <row r="5" spans="1:3" ht="16.5">
      <c r="A5" s="16" t="s">
        <v>711</v>
      </c>
      <c r="B5" s="17">
        <v>1</v>
      </c>
      <c r="C5" s="16" t="s">
        <v>734</v>
      </c>
    </row>
    <row r="6" spans="1:3" ht="16.5">
      <c r="A6" s="16" t="s">
        <v>712</v>
      </c>
      <c r="B6" s="17">
        <v>1</v>
      </c>
      <c r="C6" s="16" t="s">
        <v>735</v>
      </c>
    </row>
    <row r="7" spans="1:3" ht="16.5">
      <c r="A7" s="16" t="s">
        <v>713</v>
      </c>
      <c r="B7" s="17">
        <v>1</v>
      </c>
      <c r="C7" s="16" t="s">
        <v>730</v>
      </c>
    </row>
    <row r="8" spans="1:3" ht="16.5">
      <c r="A8" s="16" t="s">
        <v>714</v>
      </c>
      <c r="B8" s="17">
        <v>1</v>
      </c>
      <c r="C8" s="16" t="s">
        <v>736</v>
      </c>
    </row>
    <row r="9" spans="1:3" ht="16.5">
      <c r="A9" s="16" t="s">
        <v>715</v>
      </c>
      <c r="B9" s="17">
        <v>1</v>
      </c>
      <c r="C9" s="16" t="s">
        <v>737</v>
      </c>
    </row>
    <row r="10" spans="1:3" ht="16.5">
      <c r="A10" s="16" t="s">
        <v>716</v>
      </c>
      <c r="B10" s="17">
        <v>1</v>
      </c>
      <c r="C10" s="16" t="s">
        <v>738</v>
      </c>
    </row>
    <row r="11" spans="1:3" ht="16.5">
      <c r="A11" s="16" t="s">
        <v>717</v>
      </c>
      <c r="B11" s="17">
        <v>1</v>
      </c>
      <c r="C11" s="16" t="s">
        <v>739</v>
      </c>
    </row>
    <row r="12" spans="1:3" ht="16.5">
      <c r="A12" s="16" t="s">
        <v>718</v>
      </c>
      <c r="B12" s="17">
        <v>1</v>
      </c>
      <c r="C12" s="16" t="s">
        <v>740</v>
      </c>
    </row>
    <row r="13" spans="1:3" ht="16.5">
      <c r="A13" s="16" t="s">
        <v>719</v>
      </c>
      <c r="B13" s="17">
        <v>1</v>
      </c>
      <c r="C13" s="16" t="s">
        <v>741</v>
      </c>
    </row>
    <row r="14" spans="1:3" ht="16.5">
      <c r="A14" s="16" t="s">
        <v>720</v>
      </c>
      <c r="B14" s="17">
        <v>1</v>
      </c>
      <c r="C14" s="16" t="s">
        <v>742</v>
      </c>
    </row>
    <row r="15" spans="1:3" ht="16.5">
      <c r="A15" s="16" t="s">
        <v>721</v>
      </c>
      <c r="B15" s="17">
        <v>1</v>
      </c>
      <c r="C15" s="16" t="s">
        <v>743</v>
      </c>
    </row>
    <row r="16" spans="1:3" ht="16.5">
      <c r="A16" s="16" t="s">
        <v>722</v>
      </c>
      <c r="B16" s="17">
        <v>2</v>
      </c>
      <c r="C16" s="16" t="s">
        <v>723</v>
      </c>
    </row>
    <row r="17" spans="1:3" ht="16.5">
      <c r="A17" s="16" t="s">
        <v>724</v>
      </c>
      <c r="B17" s="17">
        <v>1</v>
      </c>
      <c r="C17" s="16" t="s">
        <v>744</v>
      </c>
    </row>
    <row r="18" spans="1:3" ht="16.5">
      <c r="A18" s="16" t="s">
        <v>725</v>
      </c>
      <c r="B18" s="17">
        <v>1</v>
      </c>
      <c r="C18" s="16" t="s">
        <v>745</v>
      </c>
    </row>
    <row r="19" spans="1:3" ht="16.5">
      <c r="A19" s="16" t="s">
        <v>726</v>
      </c>
      <c r="B19" s="17">
        <v>1</v>
      </c>
      <c r="C19" s="16" t="s">
        <v>746</v>
      </c>
    </row>
    <row r="20" spans="1:3" ht="16.5">
      <c r="A20" s="16" t="s">
        <v>727</v>
      </c>
      <c r="B20" s="17">
        <v>1</v>
      </c>
      <c r="C20" s="16" t="s">
        <v>747</v>
      </c>
    </row>
    <row r="21" spans="1:3" ht="16.5">
      <c r="A21" s="16" t="s">
        <v>728</v>
      </c>
      <c r="B21" s="17">
        <v>1</v>
      </c>
      <c r="C21" s="16" t="s">
        <v>748</v>
      </c>
    </row>
    <row r="22" spans="1:3" ht="16.5">
      <c r="A22" s="16" t="s">
        <v>729</v>
      </c>
      <c r="B22" s="17">
        <v>1</v>
      </c>
      <c r="C22" s="16" t="s">
        <v>749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6"/>
  <sheetViews>
    <sheetView zoomScale="85" zoomScaleNormal="85" workbookViewId="0">
      <selection activeCell="H47" sqref="H47"/>
    </sheetView>
  </sheetViews>
  <sheetFormatPr defaultColWidth="9" defaultRowHeight="15"/>
  <cols>
    <col min="1" max="1" width="37.140625" style="27" customWidth="1"/>
    <col min="2" max="2" width="14.5703125" style="6" bestFit="1" customWidth="1"/>
    <col min="3" max="5" width="14.5703125" style="6" customWidth="1"/>
    <col min="6" max="6" width="12.85546875" style="6" customWidth="1"/>
    <col min="7" max="7" width="18.42578125" style="6" customWidth="1"/>
    <col min="8" max="8" width="20.28515625" style="175" customWidth="1"/>
    <col min="9" max="9" width="20.42578125" style="6" bestFit="1" customWidth="1"/>
    <col min="10" max="12" width="20.42578125" style="6" customWidth="1"/>
    <col min="13" max="13" width="26" style="6" hidden="1" customWidth="1"/>
    <col min="14" max="14" width="9" style="1"/>
    <col min="15" max="15" width="20.42578125" style="1" customWidth="1"/>
    <col min="16" max="16" width="16.42578125" style="1" customWidth="1"/>
    <col min="17" max="16384" width="9" style="1"/>
  </cols>
  <sheetData>
    <row r="1" spans="1:14" ht="42.75" customHeight="1">
      <c r="A1" s="332" t="s">
        <v>7132</v>
      </c>
      <c r="B1" s="332"/>
      <c r="C1" s="332"/>
      <c r="D1" s="332"/>
      <c r="E1" s="332"/>
      <c r="F1" s="332"/>
      <c r="G1" s="332"/>
      <c r="H1" s="332"/>
      <c r="I1" s="332"/>
      <c r="J1" s="167"/>
      <c r="K1" s="167"/>
      <c r="L1" s="167"/>
    </row>
    <row r="2" spans="1:14" ht="30.75" customHeight="1">
      <c r="A2" s="25" t="s">
        <v>974</v>
      </c>
      <c r="B2" s="25" t="s">
        <v>975</v>
      </c>
      <c r="C2" s="25" t="s">
        <v>3321</v>
      </c>
      <c r="D2" s="25" t="s">
        <v>7422</v>
      </c>
      <c r="E2" s="25" t="s">
        <v>7209</v>
      </c>
      <c r="F2" s="25" t="s">
        <v>7343</v>
      </c>
      <c r="G2" s="25" t="s">
        <v>7149</v>
      </c>
      <c r="H2" s="31" t="s">
        <v>5208</v>
      </c>
      <c r="I2" s="25" t="s">
        <v>5209</v>
      </c>
      <c r="J2" s="25" t="s">
        <v>7062</v>
      </c>
      <c r="K2" s="25" t="s">
        <v>7417</v>
      </c>
      <c r="L2" s="25" t="s">
        <v>7338</v>
      </c>
      <c r="M2" s="25" t="s">
        <v>7065</v>
      </c>
    </row>
    <row r="3" spans="1:14" ht="27" customHeight="1">
      <c r="A3" s="26" t="s">
        <v>7733</v>
      </c>
      <c r="B3" s="7">
        <v>4</v>
      </c>
      <c r="C3" s="7">
        <f>2*B3</f>
        <v>8</v>
      </c>
      <c r="D3" s="7"/>
      <c r="E3" s="7"/>
      <c r="F3" s="7"/>
      <c r="G3" s="7"/>
      <c r="H3" s="14">
        <f>1*B3</f>
        <v>4</v>
      </c>
      <c r="I3" s="7"/>
      <c r="J3" s="7"/>
      <c r="K3" s="7"/>
      <c r="L3" s="7"/>
      <c r="M3" s="7"/>
      <c r="N3" s="1" t="s">
        <v>7515</v>
      </c>
    </row>
    <row r="4" spans="1:14" ht="27" customHeight="1">
      <c r="A4" s="26" t="s">
        <v>7739</v>
      </c>
      <c r="B4" s="7">
        <v>2</v>
      </c>
      <c r="C4" s="7"/>
      <c r="D4" s="7"/>
      <c r="E4" s="7"/>
      <c r="F4" s="7"/>
      <c r="G4" s="7"/>
      <c r="H4" s="14"/>
      <c r="I4" s="7">
        <f>5*B4</f>
        <v>10</v>
      </c>
      <c r="J4" s="7"/>
      <c r="K4" s="7"/>
      <c r="L4" s="7"/>
      <c r="M4" s="7"/>
      <c r="N4" s="1" t="s">
        <v>6762</v>
      </c>
    </row>
    <row r="5" spans="1:14" ht="27" customHeight="1">
      <c r="A5" s="26" t="s">
        <v>7734</v>
      </c>
      <c r="B5" s="7">
        <v>1</v>
      </c>
      <c r="C5" s="7"/>
      <c r="D5" s="7"/>
      <c r="E5" s="7"/>
      <c r="F5" s="7"/>
      <c r="G5" s="7"/>
      <c r="H5" s="14"/>
      <c r="I5" s="7"/>
      <c r="J5" s="7"/>
      <c r="K5" s="7"/>
      <c r="L5" s="7"/>
      <c r="M5" s="7"/>
      <c r="N5" s="1" t="s">
        <v>7735</v>
      </c>
    </row>
    <row r="6" spans="1:14" ht="27" hidden="1" customHeight="1">
      <c r="A6" s="217" t="s">
        <v>7067</v>
      </c>
      <c r="B6" s="7">
        <v>0</v>
      </c>
      <c r="C6" s="7"/>
      <c r="D6" s="7"/>
      <c r="E6" s="7"/>
      <c r="F6" s="7"/>
      <c r="G6" s="7"/>
      <c r="H6" s="14">
        <f>3*B6</f>
        <v>0</v>
      </c>
      <c r="I6" s="7"/>
      <c r="J6" s="7"/>
      <c r="K6" s="7"/>
      <c r="L6" s="7"/>
      <c r="M6" s="7"/>
      <c r="N6" s="1" t="s">
        <v>7059</v>
      </c>
    </row>
    <row r="7" spans="1:14" ht="27" customHeight="1">
      <c r="A7" s="217" t="s">
        <v>7736</v>
      </c>
      <c r="B7" s="7">
        <v>1</v>
      </c>
      <c r="C7" s="7"/>
      <c r="D7" s="7"/>
      <c r="E7" s="7"/>
      <c r="F7" s="7"/>
      <c r="G7" s="7"/>
      <c r="H7" s="14"/>
      <c r="I7" s="7">
        <f>3*B7</f>
        <v>3</v>
      </c>
      <c r="J7" s="7"/>
      <c r="K7" s="7"/>
      <c r="L7" s="7"/>
      <c r="M7" s="7"/>
      <c r="N7" s="1" t="s">
        <v>7737</v>
      </c>
    </row>
    <row r="8" spans="1:14" ht="27" hidden="1" customHeight="1">
      <c r="A8" s="217" t="s">
        <v>6918</v>
      </c>
      <c r="B8" s="7">
        <v>0</v>
      </c>
      <c r="C8" s="7"/>
      <c r="D8" s="7"/>
      <c r="E8" s="7"/>
      <c r="F8" s="7"/>
      <c r="G8" s="7"/>
      <c r="H8" s="14">
        <f>4*B8</f>
        <v>0</v>
      </c>
      <c r="I8" s="7"/>
      <c r="J8" s="7"/>
      <c r="K8" s="7"/>
      <c r="L8" s="7"/>
      <c r="M8" s="7"/>
      <c r="N8" s="1" t="s">
        <v>6919</v>
      </c>
    </row>
    <row r="9" spans="1:14" ht="27" hidden="1" customHeight="1">
      <c r="A9" s="26" t="s">
        <v>7060</v>
      </c>
      <c r="B9" s="7">
        <v>0</v>
      </c>
      <c r="C9" s="7"/>
      <c r="D9" s="7"/>
      <c r="E9" s="7"/>
      <c r="F9" s="7"/>
      <c r="G9" s="7"/>
      <c r="H9" s="14">
        <f>1*B9</f>
        <v>0</v>
      </c>
      <c r="I9" s="7"/>
      <c r="J9" s="7">
        <f>5*B9</f>
        <v>0</v>
      </c>
      <c r="K9" s="7"/>
      <c r="L9" s="7"/>
      <c r="M9" s="7"/>
      <c r="N9" s="1" t="s">
        <v>7061</v>
      </c>
    </row>
    <row r="10" spans="1:14" ht="27" hidden="1" customHeight="1">
      <c r="A10" s="26" t="s">
        <v>7063</v>
      </c>
      <c r="B10" s="7">
        <v>0</v>
      </c>
      <c r="C10" s="7"/>
      <c r="D10" s="7"/>
      <c r="E10" s="7"/>
      <c r="F10" s="7"/>
      <c r="G10" s="7"/>
      <c r="H10" s="14"/>
      <c r="I10" s="7">
        <f>5*B10</f>
        <v>0</v>
      </c>
      <c r="J10" s="7"/>
      <c r="K10" s="7"/>
      <c r="L10" s="7"/>
      <c r="M10" s="7">
        <f>1*B10</f>
        <v>0</v>
      </c>
      <c r="N10" s="1" t="s">
        <v>7064</v>
      </c>
    </row>
    <row r="11" spans="1:14" ht="27" customHeight="1">
      <c r="A11" s="26" t="s">
        <v>7738</v>
      </c>
      <c r="B11" s="7">
        <v>1</v>
      </c>
      <c r="C11" s="7"/>
      <c r="D11" s="7"/>
      <c r="E11" s="7"/>
      <c r="F11" s="7"/>
      <c r="G11" s="7"/>
      <c r="H11" s="14">
        <f>5*B11</f>
        <v>5</v>
      </c>
      <c r="I11" s="7"/>
      <c r="J11" s="7"/>
      <c r="K11" s="7"/>
      <c r="L11" s="7">
        <f>1*B11</f>
        <v>1</v>
      </c>
      <c r="M11" s="7"/>
      <c r="N11" s="1" t="s">
        <v>6764</v>
      </c>
    </row>
    <row r="12" spans="1:14" ht="27" hidden="1" customHeight="1">
      <c r="A12" s="26" t="s">
        <v>7058</v>
      </c>
      <c r="B12" s="7">
        <v>0</v>
      </c>
      <c r="C12" s="7"/>
      <c r="D12" s="7"/>
      <c r="E12" s="7"/>
      <c r="F12" s="7"/>
      <c r="G12" s="7"/>
      <c r="H12" s="14"/>
      <c r="I12" s="7">
        <f>4*B12</f>
        <v>0</v>
      </c>
      <c r="J12" s="7"/>
      <c r="K12" s="7"/>
      <c r="L12" s="7"/>
      <c r="M12" s="7"/>
      <c r="N12" s="1" t="s">
        <v>6247</v>
      </c>
    </row>
    <row r="13" spans="1:14" ht="27" hidden="1" customHeight="1">
      <c r="A13" s="26" t="s">
        <v>7418</v>
      </c>
      <c r="B13" s="7">
        <v>0</v>
      </c>
      <c r="C13" s="7"/>
      <c r="D13" s="7"/>
      <c r="E13" s="7"/>
      <c r="F13" s="7"/>
      <c r="G13" s="7"/>
      <c r="H13" s="14">
        <f>3*B13</f>
        <v>0</v>
      </c>
      <c r="I13" s="7"/>
      <c r="J13" s="7"/>
      <c r="K13" s="7"/>
      <c r="L13" s="7"/>
      <c r="M13" s="7"/>
      <c r="N13" s="1" t="s">
        <v>7419</v>
      </c>
    </row>
    <row r="14" spans="1:14" ht="27" hidden="1" customHeight="1">
      <c r="A14" s="26" t="s">
        <v>7426</v>
      </c>
      <c r="B14" s="7">
        <v>0</v>
      </c>
      <c r="C14" s="7"/>
      <c r="D14" s="7"/>
      <c r="E14" s="7"/>
      <c r="F14" s="7"/>
      <c r="G14" s="7"/>
      <c r="H14" s="14"/>
      <c r="I14" s="7">
        <f>6*B14</f>
        <v>0</v>
      </c>
      <c r="J14" s="7"/>
      <c r="K14" s="7"/>
      <c r="L14" s="7"/>
      <c r="M14" s="7"/>
      <c r="N14" s="1" t="s">
        <v>6917</v>
      </c>
    </row>
    <row r="15" spans="1:14" ht="27" hidden="1" customHeight="1">
      <c r="A15" s="26" t="s">
        <v>7121</v>
      </c>
      <c r="B15" s="7">
        <v>0</v>
      </c>
      <c r="C15" s="7"/>
      <c r="D15" s="7"/>
      <c r="E15" s="7"/>
      <c r="F15" s="7"/>
      <c r="G15" s="7"/>
      <c r="H15" s="14"/>
      <c r="I15" s="7">
        <f>3*B15</f>
        <v>0</v>
      </c>
      <c r="J15" s="7"/>
      <c r="K15" s="7"/>
      <c r="L15" s="7"/>
      <c r="M15" s="7"/>
      <c r="N15" s="1" t="s">
        <v>7122</v>
      </c>
    </row>
    <row r="16" spans="1:14" ht="27" hidden="1" customHeight="1">
      <c r="A16" s="26" t="s">
        <v>7123</v>
      </c>
      <c r="B16" s="7">
        <v>0</v>
      </c>
      <c r="C16" s="7"/>
      <c r="D16" s="7"/>
      <c r="E16" s="7"/>
      <c r="F16" s="7"/>
      <c r="G16" s="7"/>
      <c r="H16" s="14">
        <f>3*B16</f>
        <v>0</v>
      </c>
      <c r="I16" s="7"/>
      <c r="J16" s="7"/>
      <c r="K16" s="7"/>
      <c r="L16" s="7"/>
      <c r="M16" s="7"/>
    </row>
    <row r="17" spans="1:14" ht="27" hidden="1" customHeight="1">
      <c r="A17" s="26" t="s">
        <v>7124</v>
      </c>
      <c r="B17" s="7">
        <v>0</v>
      </c>
      <c r="C17" s="7"/>
      <c r="D17" s="7"/>
      <c r="E17" s="7"/>
      <c r="F17" s="7"/>
      <c r="G17" s="7"/>
      <c r="H17" s="14">
        <f>1*B17</f>
        <v>0</v>
      </c>
      <c r="I17" s="7"/>
      <c r="J17" s="7">
        <f>2*B17</f>
        <v>0</v>
      </c>
      <c r="K17" s="7"/>
      <c r="L17" s="7"/>
      <c r="M17" s="7"/>
      <c r="N17" s="1" t="s">
        <v>7131</v>
      </c>
    </row>
    <row r="18" spans="1:14" ht="27" hidden="1" customHeight="1">
      <c r="A18" s="26" t="s">
        <v>7125</v>
      </c>
      <c r="B18" s="7">
        <v>0</v>
      </c>
      <c r="C18" s="7"/>
      <c r="D18" s="7"/>
      <c r="E18" s="7"/>
      <c r="F18" s="7">
        <f>5*B18</f>
        <v>0</v>
      </c>
      <c r="G18" s="7"/>
      <c r="H18" s="14"/>
      <c r="I18" s="7"/>
      <c r="J18" s="7"/>
      <c r="K18" s="7"/>
      <c r="L18" s="7"/>
      <c r="M18" s="7"/>
      <c r="N18" s="1" t="s">
        <v>7126</v>
      </c>
    </row>
    <row r="19" spans="1:14" ht="27" hidden="1" customHeight="1">
      <c r="A19" s="26" t="s">
        <v>7127</v>
      </c>
      <c r="B19" s="7">
        <v>0</v>
      </c>
      <c r="C19" s="7"/>
      <c r="D19" s="7"/>
      <c r="E19" s="7"/>
      <c r="F19" s="7"/>
      <c r="G19" s="7"/>
      <c r="H19" s="14">
        <f>3*B19</f>
        <v>0</v>
      </c>
      <c r="I19" s="7"/>
      <c r="J19" s="7"/>
      <c r="K19" s="7"/>
      <c r="L19" s="7"/>
      <c r="M19" s="7"/>
      <c r="N19" s="1" t="s">
        <v>7130</v>
      </c>
    </row>
    <row r="20" spans="1:14" ht="27" hidden="1" customHeight="1">
      <c r="A20" s="26" t="s">
        <v>7128</v>
      </c>
      <c r="B20" s="7">
        <v>0</v>
      </c>
      <c r="C20" s="7"/>
      <c r="D20" s="7"/>
      <c r="E20" s="7"/>
      <c r="F20" s="7"/>
      <c r="G20" s="7"/>
      <c r="H20" s="14">
        <f>6*B20</f>
        <v>0</v>
      </c>
      <c r="I20" s="7"/>
      <c r="J20" s="7"/>
      <c r="K20" s="7"/>
      <c r="L20" s="7"/>
      <c r="M20" s="7"/>
      <c r="N20" s="1" t="s">
        <v>7129</v>
      </c>
    </row>
    <row r="21" spans="1:14" ht="27" hidden="1" customHeight="1">
      <c r="A21" s="26" t="s">
        <v>7433</v>
      </c>
      <c r="B21" s="7">
        <v>0</v>
      </c>
      <c r="C21" s="7"/>
      <c r="D21" s="7"/>
      <c r="E21" s="7"/>
      <c r="F21" s="7"/>
      <c r="G21" s="7"/>
      <c r="H21" s="14">
        <f>5*B21</f>
        <v>0</v>
      </c>
      <c r="I21" s="7"/>
      <c r="J21" s="7"/>
      <c r="K21" s="7"/>
      <c r="L21" s="7"/>
      <c r="M21" s="7"/>
      <c r="N21" s="1" t="s">
        <v>7150</v>
      </c>
    </row>
    <row r="22" spans="1:14" ht="27" hidden="1" customHeight="1">
      <c r="A22" s="26" t="s">
        <v>7167</v>
      </c>
      <c r="B22" s="7">
        <v>0</v>
      </c>
      <c r="C22" s="7"/>
      <c r="D22" s="7"/>
      <c r="E22" s="7"/>
      <c r="F22" s="7"/>
      <c r="G22" s="7">
        <f>5*B22</f>
        <v>0</v>
      </c>
      <c r="H22" s="14"/>
      <c r="I22" s="7"/>
      <c r="J22" s="7"/>
      <c r="K22" s="7">
        <f>1*B22</f>
        <v>0</v>
      </c>
      <c r="L22" s="7"/>
      <c r="M22" s="7"/>
      <c r="N22" s="1" t="s">
        <v>7166</v>
      </c>
    </row>
    <row r="23" spans="1:14" ht="27" hidden="1" customHeight="1">
      <c r="A23" s="26" t="s">
        <v>7207</v>
      </c>
      <c r="B23" s="7">
        <v>0</v>
      </c>
      <c r="C23" s="7"/>
      <c r="D23" s="7"/>
      <c r="E23" s="7"/>
      <c r="F23" s="7"/>
      <c r="G23" s="7"/>
      <c r="H23" s="14">
        <f>1*B23</f>
        <v>0</v>
      </c>
      <c r="I23" s="7"/>
      <c r="J23" s="7"/>
      <c r="K23" s="7"/>
      <c r="L23" s="7"/>
      <c r="M23" s="7"/>
      <c r="N23" s="1" t="s">
        <v>7208</v>
      </c>
    </row>
    <row r="24" spans="1:14" ht="27" hidden="1" customHeight="1">
      <c r="A24" s="26" t="s">
        <v>7336</v>
      </c>
      <c r="B24" s="7">
        <v>0</v>
      </c>
      <c r="C24" s="7"/>
      <c r="D24" s="7"/>
      <c r="E24" s="7"/>
      <c r="F24" s="7"/>
      <c r="G24" s="7"/>
      <c r="H24" s="14"/>
      <c r="I24" s="7"/>
      <c r="J24" s="7"/>
      <c r="K24" s="7"/>
      <c r="L24" s="7">
        <f>6*B24</f>
        <v>0</v>
      </c>
      <c r="M24" s="7"/>
      <c r="N24" s="1" t="s">
        <v>7337</v>
      </c>
    </row>
    <row r="25" spans="1:14" ht="27" hidden="1" customHeight="1">
      <c r="A25" s="26" t="s">
        <v>7415</v>
      </c>
      <c r="B25" s="7">
        <v>0</v>
      </c>
      <c r="C25" s="7"/>
      <c r="D25" s="7"/>
      <c r="E25" s="7"/>
      <c r="F25" s="7"/>
      <c r="G25" s="7"/>
      <c r="H25" s="14"/>
      <c r="I25" s="7"/>
      <c r="J25" s="7"/>
      <c r="K25" s="7"/>
      <c r="L25" s="7">
        <f>3*B25</f>
        <v>0</v>
      </c>
      <c r="M25" s="7"/>
    </row>
    <row r="26" spans="1:14" ht="27" hidden="1" customHeight="1">
      <c r="A26" s="26" t="s">
        <v>7416</v>
      </c>
      <c r="B26" s="7">
        <v>0</v>
      </c>
      <c r="C26" s="7">
        <f>2*B26</f>
        <v>0</v>
      </c>
      <c r="D26" s="7"/>
      <c r="E26" s="7"/>
      <c r="F26" s="7"/>
      <c r="G26" s="7"/>
      <c r="H26" s="14"/>
      <c r="I26" s="7"/>
      <c r="J26" s="7"/>
      <c r="K26" s="7">
        <f>3*B26</f>
        <v>0</v>
      </c>
      <c r="L26" s="7"/>
      <c r="M26" s="7"/>
    </row>
    <row r="27" spans="1:14" ht="27" hidden="1" customHeight="1">
      <c r="A27" s="26" t="s">
        <v>7339</v>
      </c>
      <c r="B27" s="7">
        <v>0</v>
      </c>
      <c r="C27" s="7"/>
      <c r="D27" s="7"/>
      <c r="E27" s="7"/>
      <c r="F27" s="7"/>
      <c r="G27" s="7">
        <f>5*B27</f>
        <v>0</v>
      </c>
      <c r="H27" s="14"/>
      <c r="I27" s="7"/>
      <c r="J27" s="7"/>
      <c r="K27" s="7">
        <f>1*B27</f>
        <v>0</v>
      </c>
      <c r="L27" s="7"/>
      <c r="M27" s="7"/>
      <c r="N27" s="1" t="s">
        <v>7340</v>
      </c>
    </row>
    <row r="28" spans="1:14" ht="27" customHeight="1">
      <c r="A28" s="26" t="s">
        <v>7740</v>
      </c>
      <c r="B28" s="7">
        <v>1</v>
      </c>
      <c r="C28" s="7"/>
      <c r="D28" s="7"/>
      <c r="E28" s="7"/>
      <c r="F28" s="7"/>
      <c r="G28" s="7"/>
      <c r="H28" s="14">
        <f>6*B28</f>
        <v>6</v>
      </c>
      <c r="I28" s="7"/>
      <c r="J28" s="7"/>
      <c r="K28" s="7"/>
      <c r="L28" s="7"/>
      <c r="M28" s="7"/>
      <c r="N28" s="1" t="s">
        <v>7743</v>
      </c>
    </row>
    <row r="29" spans="1:14" ht="27" customHeight="1">
      <c r="A29" s="26" t="s">
        <v>7742</v>
      </c>
      <c r="B29" s="7">
        <v>1</v>
      </c>
      <c r="C29" s="7"/>
      <c r="D29" s="7"/>
      <c r="E29" s="7"/>
      <c r="F29" s="7"/>
      <c r="G29" s="7"/>
      <c r="H29" s="14">
        <f>1*B29</f>
        <v>1</v>
      </c>
      <c r="I29" s="7"/>
      <c r="J29" s="7"/>
      <c r="K29" s="7"/>
      <c r="L29" s="7">
        <f>2*B29</f>
        <v>2</v>
      </c>
      <c r="M29" s="7"/>
      <c r="N29" s="1" t="s">
        <v>7741</v>
      </c>
    </row>
    <row r="30" spans="1:14" ht="27" hidden="1" customHeight="1">
      <c r="A30" s="26" t="s">
        <v>7341</v>
      </c>
      <c r="B30" s="7">
        <v>0</v>
      </c>
      <c r="C30" s="7"/>
      <c r="D30" s="7"/>
      <c r="E30" s="7"/>
      <c r="F30" s="7">
        <f>5*B30</f>
        <v>0</v>
      </c>
      <c r="G30" s="7"/>
      <c r="H30" s="14"/>
      <c r="I30" s="7"/>
      <c r="J30" s="7"/>
      <c r="K30" s="7"/>
      <c r="L30" s="7"/>
      <c r="M30" s="7"/>
      <c r="N30" s="1" t="s">
        <v>7342</v>
      </c>
    </row>
    <row r="31" spans="1:14" ht="27" hidden="1" customHeight="1">
      <c r="A31" s="26" t="s">
        <v>7420</v>
      </c>
      <c r="B31" s="7">
        <v>0</v>
      </c>
      <c r="C31" s="7"/>
      <c r="D31" s="7">
        <f>4*B31</f>
        <v>0</v>
      </c>
      <c r="E31" s="7"/>
      <c r="F31" s="7"/>
      <c r="G31" s="7"/>
      <c r="H31" s="14"/>
      <c r="I31" s="7"/>
      <c r="J31" s="7"/>
      <c r="K31" s="7"/>
      <c r="L31" s="7"/>
      <c r="M31" s="7"/>
      <c r="N31" s="1" t="s">
        <v>7421</v>
      </c>
    </row>
    <row r="32" spans="1:14" ht="27" hidden="1" customHeight="1">
      <c r="A32" s="26" t="s">
        <v>7423</v>
      </c>
      <c r="B32" s="7">
        <v>0</v>
      </c>
      <c r="C32" s="7"/>
      <c r="D32" s="7"/>
      <c r="E32" s="7"/>
      <c r="F32" s="7"/>
      <c r="G32" s="7"/>
      <c r="H32" s="14">
        <f>6*B32</f>
        <v>0</v>
      </c>
      <c r="I32" s="7"/>
      <c r="J32" s="7"/>
      <c r="K32" s="7"/>
      <c r="L32" s="7"/>
      <c r="M32" s="7"/>
      <c r="N32" s="1" t="s">
        <v>7424</v>
      </c>
    </row>
    <row r="33" spans="1:15" ht="27" hidden="1" customHeight="1">
      <c r="A33" s="26" t="s">
        <v>7425</v>
      </c>
      <c r="B33" s="7">
        <v>0</v>
      </c>
      <c r="C33" s="7"/>
      <c r="D33" s="7"/>
      <c r="E33" s="7"/>
      <c r="F33" s="7"/>
      <c r="G33" s="7"/>
      <c r="H33" s="14"/>
      <c r="I33" s="7">
        <f>6*B33</f>
        <v>0</v>
      </c>
      <c r="J33" s="7"/>
      <c r="K33" s="7"/>
      <c r="L33" s="7"/>
      <c r="M33" s="7"/>
      <c r="N33" s="1" t="s">
        <v>6917</v>
      </c>
    </row>
    <row r="34" spans="1:15" ht="27" hidden="1" customHeight="1">
      <c r="A34" s="26" t="s">
        <v>7427</v>
      </c>
      <c r="B34" s="7">
        <v>0</v>
      </c>
      <c r="C34" s="7"/>
      <c r="D34" s="7"/>
      <c r="E34" s="7">
        <f>4*B34</f>
        <v>0</v>
      </c>
      <c r="F34" s="7"/>
      <c r="G34" s="7"/>
      <c r="H34" s="14"/>
      <c r="I34" s="7"/>
      <c r="J34" s="7"/>
      <c r="K34" s="7"/>
      <c r="L34" s="7"/>
      <c r="M34" s="7"/>
      <c r="N34" s="1" t="s">
        <v>7430</v>
      </c>
    </row>
    <row r="35" spans="1:15" ht="27" hidden="1" customHeight="1">
      <c r="A35" s="26" t="s">
        <v>7431</v>
      </c>
      <c r="B35" s="7">
        <v>0</v>
      </c>
      <c r="C35" s="7"/>
      <c r="D35" s="7"/>
      <c r="E35" s="7"/>
      <c r="F35" s="7">
        <f>6*B35</f>
        <v>0</v>
      </c>
      <c r="G35" s="7"/>
      <c r="H35" s="14"/>
      <c r="I35" s="7"/>
      <c r="J35" s="7"/>
      <c r="K35" s="7"/>
      <c r="L35" s="7"/>
      <c r="M35" s="7"/>
      <c r="N35" s="1" t="s">
        <v>7432</v>
      </c>
    </row>
    <row r="36" spans="1:15" ht="27" hidden="1" customHeight="1">
      <c r="A36" s="26" t="s">
        <v>7516</v>
      </c>
      <c r="B36" s="7">
        <v>0</v>
      </c>
      <c r="C36" s="7"/>
      <c r="D36" s="7"/>
      <c r="E36" s="7"/>
      <c r="F36" s="7"/>
      <c r="G36" s="7"/>
      <c r="H36" s="14"/>
      <c r="I36" s="7"/>
      <c r="J36" s="7"/>
      <c r="K36" s="7"/>
      <c r="L36" s="7">
        <f>3*B36</f>
        <v>0</v>
      </c>
      <c r="M36" s="7"/>
      <c r="N36" s="1" t="s">
        <v>7517</v>
      </c>
    </row>
    <row r="37" spans="1:15" ht="27" customHeight="1">
      <c r="A37" s="26" t="s">
        <v>7521</v>
      </c>
      <c r="B37" s="7">
        <v>3</v>
      </c>
      <c r="C37" s="7"/>
      <c r="D37" s="7"/>
      <c r="E37" s="7"/>
      <c r="F37" s="7"/>
      <c r="G37" s="7"/>
      <c r="H37" s="14">
        <f>1*B37</f>
        <v>3</v>
      </c>
      <c r="I37" s="7"/>
      <c r="J37" s="7"/>
      <c r="K37" s="7"/>
      <c r="L37" s="7"/>
      <c r="M37" s="7"/>
      <c r="N37" s="1" t="s">
        <v>7520</v>
      </c>
    </row>
    <row r="38" spans="1:15" ht="27" hidden="1" customHeight="1">
      <c r="A38" s="26" t="s">
        <v>7522</v>
      </c>
      <c r="B38" s="7">
        <v>0</v>
      </c>
      <c r="C38" s="7"/>
      <c r="D38" s="7"/>
      <c r="E38" s="7"/>
      <c r="F38" s="7"/>
      <c r="G38" s="7"/>
      <c r="H38" s="14">
        <f>6*B38</f>
        <v>0</v>
      </c>
      <c r="I38" s="7"/>
      <c r="J38" s="7"/>
      <c r="K38" s="7"/>
      <c r="L38" s="7"/>
      <c r="M38" s="7"/>
      <c r="N38" s="1" t="s">
        <v>7523</v>
      </c>
    </row>
    <row r="39" spans="1:15" ht="27" hidden="1" customHeight="1">
      <c r="A39" s="26" t="s">
        <v>7524</v>
      </c>
      <c r="B39" s="7">
        <v>0</v>
      </c>
      <c r="C39" s="7"/>
      <c r="D39" s="7"/>
      <c r="E39" s="7"/>
      <c r="F39" s="7"/>
      <c r="G39" s="7"/>
      <c r="H39" s="14"/>
      <c r="I39" s="7">
        <f>4*B39</f>
        <v>0</v>
      </c>
      <c r="J39" s="7"/>
      <c r="K39" s="7"/>
      <c r="L39" s="7"/>
      <c r="M39" s="7"/>
      <c r="N39" s="1" t="s">
        <v>7525</v>
      </c>
    </row>
    <row r="40" spans="1:15" ht="33.75" customHeight="1">
      <c r="A40" s="26" t="s">
        <v>976</v>
      </c>
      <c r="B40" s="3">
        <f>SUM(B3:B39)</f>
        <v>14</v>
      </c>
      <c r="C40" s="3">
        <f t="shared" ref="C40:K40" si="0">SUM(C3:C39)</f>
        <v>8</v>
      </c>
      <c r="D40" s="3">
        <f t="shared" si="0"/>
        <v>0</v>
      </c>
      <c r="E40" s="3">
        <f t="shared" si="0"/>
        <v>0</v>
      </c>
      <c r="F40" s="3">
        <f t="shared" si="0"/>
        <v>0</v>
      </c>
      <c r="G40" s="3">
        <f t="shared" si="0"/>
        <v>0</v>
      </c>
      <c r="H40" s="3">
        <f t="shared" si="0"/>
        <v>19</v>
      </c>
      <c r="I40" s="3">
        <f>SUM(I3:I39)</f>
        <v>13</v>
      </c>
      <c r="J40" s="3">
        <f t="shared" si="0"/>
        <v>0</v>
      </c>
      <c r="K40" s="3">
        <f t="shared" si="0"/>
        <v>0</v>
      </c>
      <c r="L40" s="3">
        <f>SUM(L3:L39)</f>
        <v>3</v>
      </c>
      <c r="M40" s="3">
        <f t="shared" ref="M40" si="1">SUM(M3:M35)</f>
        <v>0</v>
      </c>
    </row>
    <row r="41" spans="1:15" ht="46.5" customHeight="1">
      <c r="A41" s="331" t="s">
        <v>977</v>
      </c>
      <c r="B41" s="331"/>
      <c r="C41" s="164">
        <f>C40/8*3</f>
        <v>3</v>
      </c>
      <c r="D41" s="9">
        <f>D40/8*3</f>
        <v>0</v>
      </c>
      <c r="E41" s="9">
        <f>E40/8*3</f>
        <v>0</v>
      </c>
      <c r="F41" s="164">
        <f>F40/8*3</f>
        <v>0</v>
      </c>
      <c r="G41" s="9">
        <f t="shared" ref="G41:M41" si="2">G40/8*3</f>
        <v>0</v>
      </c>
      <c r="H41" s="164">
        <f t="shared" si="2"/>
        <v>7.125</v>
      </c>
      <c r="I41" s="9">
        <f t="shared" si="2"/>
        <v>4.875</v>
      </c>
      <c r="J41" s="9">
        <f t="shared" si="2"/>
        <v>0</v>
      </c>
      <c r="K41" s="9">
        <f t="shared" si="2"/>
        <v>0</v>
      </c>
      <c r="L41" s="9">
        <f>L40/8*3</f>
        <v>1.125</v>
      </c>
      <c r="M41" s="9">
        <f t="shared" si="2"/>
        <v>0</v>
      </c>
    </row>
    <row r="42" spans="1:15" ht="57" customHeight="1">
      <c r="A42" s="333" t="s">
        <v>7133</v>
      </c>
      <c r="B42" s="333"/>
      <c r="C42" s="94">
        <v>5</v>
      </c>
      <c r="D42" s="94">
        <v>4</v>
      </c>
      <c r="E42" s="94">
        <v>0</v>
      </c>
      <c r="F42" s="174">
        <v>0</v>
      </c>
      <c r="G42" s="28">
        <v>2</v>
      </c>
      <c r="H42" s="174">
        <v>6</v>
      </c>
      <c r="I42" s="28">
        <v>10</v>
      </c>
      <c r="J42" s="28">
        <v>1</v>
      </c>
      <c r="K42" s="28">
        <v>0</v>
      </c>
      <c r="L42" s="28">
        <v>4</v>
      </c>
      <c r="M42" s="28">
        <v>0</v>
      </c>
      <c r="O42" s="6">
        <f>SUM(C42:M42)</f>
        <v>32</v>
      </c>
    </row>
    <row r="43" spans="1:15">
      <c r="L43" s="170"/>
    </row>
    <row r="44" spans="1:15" ht="28.5" customHeight="1">
      <c r="A44" s="29" t="s">
        <v>7134</v>
      </c>
      <c r="B44" s="7"/>
      <c r="C44" s="187" t="s">
        <v>7514</v>
      </c>
      <c r="D44" s="7" t="s">
        <v>7512</v>
      </c>
      <c r="E44" s="7"/>
      <c r="F44" s="7"/>
      <c r="G44" s="22"/>
      <c r="H44" s="14" t="s">
        <v>7434</v>
      </c>
      <c r="I44" s="243" t="s">
        <v>7513</v>
      </c>
      <c r="J44" s="7">
        <v>15</v>
      </c>
      <c r="K44" s="7"/>
      <c r="L44" s="243" t="s">
        <v>7518</v>
      </c>
      <c r="M44" s="171"/>
    </row>
    <row r="45" spans="1:15">
      <c r="I45" s="6" t="s">
        <v>5258</v>
      </c>
      <c r="L45" s="6" t="s">
        <v>5258</v>
      </c>
      <c r="M45" s="6" t="s">
        <v>5258</v>
      </c>
    </row>
    <row r="46" spans="1:15" ht="18.75">
      <c r="F46" s="165"/>
      <c r="G46" s="166"/>
      <c r="H46" s="166"/>
      <c r="I46" s="166"/>
      <c r="J46" s="166"/>
      <c r="K46" s="166"/>
      <c r="L46" s="165"/>
      <c r="O46" s="6"/>
    </row>
    <row r="47" spans="1:15">
      <c r="L47" s="6" t="s">
        <v>7519</v>
      </c>
    </row>
    <row r="51" spans="1:11">
      <c r="A51" s="27" t="s">
        <v>6034</v>
      </c>
      <c r="B51" s="330" t="s">
        <v>6035</v>
      </c>
      <c r="C51" s="330"/>
      <c r="D51" s="330"/>
      <c r="E51" s="330"/>
      <c r="F51" s="330" t="s">
        <v>6036</v>
      </c>
      <c r="G51" s="330"/>
      <c r="H51" s="330"/>
      <c r="I51" s="330"/>
      <c r="J51" s="6">
        <v>4</v>
      </c>
      <c r="K51" s="6">
        <f>J51*1500/8*4</f>
        <v>3000</v>
      </c>
    </row>
    <row r="52" spans="1:11">
      <c r="A52" s="27" t="s">
        <v>6038</v>
      </c>
      <c r="B52" s="330"/>
      <c r="C52" s="330"/>
      <c r="D52" s="330"/>
      <c r="E52" s="330"/>
      <c r="F52" s="330" t="s">
        <v>6037</v>
      </c>
      <c r="G52" s="330"/>
      <c r="H52" s="330"/>
      <c r="I52" s="330"/>
    </row>
    <row r="53" spans="1:11">
      <c r="A53" s="27" t="s">
        <v>6039</v>
      </c>
      <c r="B53" s="330"/>
      <c r="C53" s="330"/>
      <c r="D53" s="330"/>
      <c r="E53" s="330"/>
      <c r="F53" s="330" t="s">
        <v>6040</v>
      </c>
      <c r="G53" s="330"/>
      <c r="H53" s="330"/>
      <c r="I53" s="330"/>
    </row>
    <row r="54" spans="1:11">
      <c r="A54" s="27" t="s">
        <v>6041</v>
      </c>
      <c r="B54" s="330"/>
      <c r="C54" s="330"/>
      <c r="D54" s="330"/>
      <c r="E54" s="330"/>
      <c r="F54" s="330" t="s">
        <v>6042</v>
      </c>
      <c r="G54" s="330"/>
      <c r="H54" s="330"/>
      <c r="I54" s="330"/>
      <c r="J54" s="6">
        <v>1</v>
      </c>
      <c r="K54" s="6">
        <f>1500/8*3</f>
        <v>562.5</v>
      </c>
    </row>
    <row r="55" spans="1:11">
      <c r="A55" s="27" t="s">
        <v>6043</v>
      </c>
      <c r="B55" s="330"/>
      <c r="C55" s="330"/>
      <c r="D55" s="330"/>
      <c r="E55" s="330"/>
      <c r="F55" s="330" t="s">
        <v>6044</v>
      </c>
      <c r="G55" s="330"/>
      <c r="H55" s="330"/>
      <c r="I55" s="330"/>
    </row>
    <row r="56" spans="1:11">
      <c r="A56" s="27" t="s">
        <v>6045</v>
      </c>
      <c r="B56" s="330"/>
      <c r="C56" s="330"/>
      <c r="D56" s="330"/>
      <c r="E56" s="330"/>
      <c r="F56" s="330" t="s">
        <v>6046</v>
      </c>
      <c r="G56" s="330"/>
      <c r="H56" s="330"/>
      <c r="I56" s="330"/>
      <c r="J56" s="6">
        <v>1</v>
      </c>
      <c r="K56" s="6">
        <f>1500/8*4</f>
        <v>750</v>
      </c>
    </row>
    <row r="57" spans="1:11">
      <c r="A57" s="27" t="s">
        <v>6047</v>
      </c>
      <c r="B57" s="330" t="s">
        <v>6048</v>
      </c>
      <c r="C57" s="330"/>
      <c r="D57" s="330"/>
      <c r="E57" s="330"/>
      <c r="F57" s="330" t="s">
        <v>6049</v>
      </c>
      <c r="G57" s="330"/>
      <c r="H57" s="330"/>
      <c r="I57" s="330"/>
    </row>
    <row r="58" spans="1:11">
      <c r="A58" s="27" t="s">
        <v>6050</v>
      </c>
      <c r="B58" s="330"/>
      <c r="C58" s="330"/>
      <c r="D58" s="330"/>
      <c r="E58" s="330"/>
      <c r="F58" s="330" t="s">
        <v>6051</v>
      </c>
      <c r="G58" s="330"/>
      <c r="H58" s="330"/>
      <c r="I58" s="330"/>
      <c r="J58" s="6">
        <v>2</v>
      </c>
      <c r="K58" s="6">
        <f>J58*1500/8*2</f>
        <v>750</v>
      </c>
    </row>
    <row r="59" spans="1:11">
      <c r="A59" s="27" t="s">
        <v>6052</v>
      </c>
      <c r="B59" s="330"/>
      <c r="C59" s="330"/>
      <c r="D59" s="330"/>
      <c r="E59" s="330"/>
      <c r="F59" s="330" t="s">
        <v>6053</v>
      </c>
      <c r="G59" s="330"/>
      <c r="H59" s="330"/>
      <c r="I59" s="330"/>
    </row>
    <row r="60" spans="1:11">
      <c r="A60" s="27" t="s">
        <v>6054</v>
      </c>
      <c r="B60" s="330"/>
      <c r="C60" s="330"/>
      <c r="D60" s="330"/>
      <c r="E60" s="330"/>
      <c r="F60" s="330" t="s">
        <v>6055</v>
      </c>
      <c r="G60" s="330"/>
      <c r="H60" s="330"/>
      <c r="I60" s="330"/>
    </row>
    <row r="61" spans="1:11">
      <c r="A61" s="27" t="s">
        <v>6056</v>
      </c>
      <c r="B61" s="330"/>
      <c r="C61" s="330"/>
      <c r="D61" s="330"/>
      <c r="E61" s="330"/>
      <c r="F61" s="330" t="s">
        <v>6057</v>
      </c>
      <c r="G61" s="330"/>
      <c r="H61" s="330"/>
      <c r="I61" s="330"/>
      <c r="J61" s="6">
        <v>1</v>
      </c>
      <c r="K61" s="6">
        <f>1500/8*6</f>
        <v>1125</v>
      </c>
    </row>
    <row r="62" spans="1:11">
      <c r="A62" s="27" t="s">
        <v>6081</v>
      </c>
      <c r="B62" s="330"/>
      <c r="C62" s="330"/>
      <c r="D62" s="330"/>
      <c r="E62" s="330"/>
      <c r="F62" s="330" t="s">
        <v>6084</v>
      </c>
      <c r="G62" s="330"/>
      <c r="H62" s="330"/>
      <c r="I62" s="330"/>
    </row>
    <row r="63" spans="1:11">
      <c r="A63" s="27" t="s">
        <v>6082</v>
      </c>
      <c r="B63" s="330"/>
      <c r="C63" s="330"/>
      <c r="D63" s="330"/>
      <c r="E63" s="330"/>
      <c r="F63" s="330" t="s">
        <v>6083</v>
      </c>
      <c r="G63" s="330"/>
      <c r="H63" s="330"/>
      <c r="I63" s="330"/>
    </row>
    <row r="64" spans="1:11">
      <c r="A64" s="27" t="s">
        <v>7128</v>
      </c>
      <c r="B64" s="330"/>
      <c r="C64" s="330"/>
      <c r="D64" s="330"/>
      <c r="E64" s="330"/>
      <c r="F64" s="330" t="s">
        <v>7129</v>
      </c>
      <c r="G64" s="330"/>
      <c r="H64" s="330"/>
      <c r="I64" s="330"/>
    </row>
    <row r="65" spans="1:11">
      <c r="A65" s="27" t="s">
        <v>7127</v>
      </c>
      <c r="B65" s="330"/>
      <c r="C65" s="330"/>
      <c r="D65" s="330"/>
      <c r="E65" s="330"/>
      <c r="F65" s="330" t="s">
        <v>7130</v>
      </c>
      <c r="G65" s="330"/>
      <c r="H65" s="330"/>
      <c r="I65" s="330"/>
    </row>
    <row r="66" spans="1:11">
      <c r="A66" s="27" t="s">
        <v>7121</v>
      </c>
      <c r="B66" s="330"/>
      <c r="C66" s="330"/>
      <c r="D66" s="330"/>
      <c r="E66" s="330"/>
      <c r="F66" s="330" t="s">
        <v>7122</v>
      </c>
      <c r="G66" s="330"/>
      <c r="H66" s="330"/>
      <c r="I66" s="330"/>
      <c r="K66" s="6">
        <f>SUM(K51:K61)</f>
        <v>6187.5</v>
      </c>
    </row>
    <row r="67" spans="1:11">
      <c r="A67" s="27" t="s">
        <v>7120</v>
      </c>
      <c r="B67" s="330"/>
      <c r="C67" s="330"/>
      <c r="D67" s="330"/>
      <c r="E67" s="330"/>
      <c r="F67" s="330" t="s">
        <v>6917</v>
      </c>
      <c r="G67" s="330"/>
      <c r="H67" s="330"/>
      <c r="I67" s="330"/>
    </row>
    <row r="68" spans="1:11">
      <c r="A68" s="27" t="s">
        <v>6761</v>
      </c>
      <c r="F68" s="330" t="s">
        <v>6762</v>
      </c>
      <c r="G68" s="330"/>
      <c r="H68" s="330"/>
      <c r="I68" s="330"/>
    </row>
    <row r="69" spans="1:11">
      <c r="A69" s="27" t="s">
        <v>7151</v>
      </c>
      <c r="F69" s="330" t="s">
        <v>7150</v>
      </c>
      <c r="G69" s="330"/>
      <c r="H69" s="330"/>
      <c r="I69" s="330"/>
    </row>
    <row r="70" spans="1:11">
      <c r="A70" s="27" t="s">
        <v>7167</v>
      </c>
      <c r="F70" s="330" t="s">
        <v>7166</v>
      </c>
      <c r="G70" s="330"/>
      <c r="H70" s="330"/>
      <c r="I70" s="330"/>
    </row>
    <row r="71" spans="1:11">
      <c r="A71" s="27" t="s">
        <v>7207</v>
      </c>
      <c r="F71" s="330" t="s">
        <v>7208</v>
      </c>
      <c r="G71" s="330"/>
      <c r="H71" s="330"/>
      <c r="I71" s="330"/>
    </row>
    <row r="72" spans="1:11">
      <c r="A72" s="27" t="s">
        <v>6763</v>
      </c>
      <c r="F72" s="330" t="s">
        <v>6764</v>
      </c>
      <c r="G72" s="330"/>
      <c r="H72" s="330"/>
      <c r="I72" s="330"/>
    </row>
    <row r="73" spans="1:11">
      <c r="A73" s="27" t="s">
        <v>7336</v>
      </c>
      <c r="F73" s="330" t="s">
        <v>7337</v>
      </c>
      <c r="G73" s="330"/>
      <c r="H73" s="330"/>
      <c r="I73" s="330"/>
    </row>
    <row r="74" spans="1:11">
      <c r="A74" s="27" t="s">
        <v>7339</v>
      </c>
      <c r="F74" s="330" t="s">
        <v>7340</v>
      </c>
      <c r="G74" s="330"/>
      <c r="H74" s="330"/>
      <c r="I74" s="330"/>
    </row>
    <row r="75" spans="1:11">
      <c r="A75" s="27" t="s">
        <v>7341</v>
      </c>
      <c r="F75" s="330" t="s">
        <v>7342</v>
      </c>
      <c r="G75" s="330"/>
      <c r="H75" s="330"/>
      <c r="I75" s="330"/>
    </row>
    <row r="76" spans="1:11">
      <c r="A76" s="27" t="s">
        <v>7420</v>
      </c>
      <c r="F76" s="330" t="s">
        <v>7421</v>
      </c>
      <c r="G76" s="330"/>
      <c r="H76" s="330"/>
      <c r="I76" s="330"/>
    </row>
    <row r="77" spans="1:11">
      <c r="A77" s="27" t="s">
        <v>7423</v>
      </c>
      <c r="F77" s="330" t="s">
        <v>7424</v>
      </c>
      <c r="G77" s="330"/>
      <c r="H77" s="330"/>
      <c r="I77" s="330"/>
    </row>
    <row r="78" spans="1:11">
      <c r="A78" s="27" t="s">
        <v>7425</v>
      </c>
      <c r="F78" s="330" t="s">
        <v>6917</v>
      </c>
      <c r="G78" s="330"/>
      <c r="H78" s="330"/>
      <c r="I78" s="330"/>
    </row>
    <row r="79" spans="1:11">
      <c r="A79" s="27" t="s">
        <v>7428</v>
      </c>
      <c r="F79" s="330" t="s">
        <v>7429</v>
      </c>
      <c r="G79" s="330"/>
      <c r="H79" s="330"/>
      <c r="I79" s="330"/>
    </row>
    <row r="80" spans="1:11">
      <c r="A80" s="27" t="s">
        <v>7427</v>
      </c>
      <c r="F80" s="330" t="s">
        <v>7430</v>
      </c>
      <c r="G80" s="330"/>
      <c r="H80" s="330"/>
      <c r="I80" s="330"/>
    </row>
    <row r="81" spans="1:9">
      <c r="A81" s="27" t="s">
        <v>7516</v>
      </c>
      <c r="F81" s="330" t="s">
        <v>7517</v>
      </c>
      <c r="G81" s="330"/>
      <c r="H81" s="330"/>
      <c r="I81" s="330"/>
    </row>
    <row r="82" spans="1:9">
      <c r="A82" s="27" t="s">
        <v>7521</v>
      </c>
      <c r="F82" s="330" t="s">
        <v>7520</v>
      </c>
      <c r="G82" s="330"/>
      <c r="H82" s="330"/>
      <c r="I82" s="330"/>
    </row>
    <row r="83" spans="1:9">
      <c r="A83" s="27" t="s">
        <v>7522</v>
      </c>
      <c r="F83" s="330" t="s">
        <v>7523</v>
      </c>
      <c r="G83" s="330"/>
      <c r="H83" s="330"/>
      <c r="I83" s="330"/>
    </row>
    <row r="84" spans="1:9">
      <c r="A84" s="27" t="s">
        <v>7734</v>
      </c>
      <c r="F84" s="330" t="s">
        <v>7735</v>
      </c>
      <c r="G84" s="330"/>
      <c r="H84" s="330"/>
      <c r="I84" s="330"/>
    </row>
    <row r="85" spans="1:9">
      <c r="A85" s="27" t="s">
        <v>7736</v>
      </c>
      <c r="F85" s="330" t="s">
        <v>7737</v>
      </c>
      <c r="G85" s="330"/>
      <c r="H85" s="330"/>
      <c r="I85" s="330"/>
    </row>
    <row r="86" spans="1:9">
      <c r="A86" s="27" t="s">
        <v>7742</v>
      </c>
      <c r="F86" s="330" t="s">
        <v>7741</v>
      </c>
      <c r="G86" s="330"/>
      <c r="H86" s="330"/>
      <c r="I86" s="330"/>
    </row>
  </sheetData>
  <mergeCells count="56">
    <mergeCell ref="F75:I75"/>
    <mergeCell ref="F72:I72"/>
    <mergeCell ref="F70:I70"/>
    <mergeCell ref="F65:I65"/>
    <mergeCell ref="B66:E66"/>
    <mergeCell ref="F66:I66"/>
    <mergeCell ref="F73:I73"/>
    <mergeCell ref="F74:I74"/>
    <mergeCell ref="F68:I68"/>
    <mergeCell ref="F69:I69"/>
    <mergeCell ref="F59:I59"/>
    <mergeCell ref="B60:E60"/>
    <mergeCell ref="F60:I60"/>
    <mergeCell ref="B61:E61"/>
    <mergeCell ref="F61:I61"/>
    <mergeCell ref="B62:E62"/>
    <mergeCell ref="F62:I62"/>
    <mergeCell ref="B63:E63"/>
    <mergeCell ref="F63:I63"/>
    <mergeCell ref="B67:E67"/>
    <mergeCell ref="F67:I67"/>
    <mergeCell ref="B64:E64"/>
    <mergeCell ref="F64:I64"/>
    <mergeCell ref="B65:E65"/>
    <mergeCell ref="A41:B41"/>
    <mergeCell ref="A1:I1"/>
    <mergeCell ref="A42:B42"/>
    <mergeCell ref="B51:E51"/>
    <mergeCell ref="F51:I51"/>
    <mergeCell ref="B55:E55"/>
    <mergeCell ref="F55:I55"/>
    <mergeCell ref="B56:E56"/>
    <mergeCell ref="F71:I71"/>
    <mergeCell ref="B52:E52"/>
    <mergeCell ref="F52:I52"/>
    <mergeCell ref="B53:E53"/>
    <mergeCell ref="F53:I53"/>
    <mergeCell ref="B54:E54"/>
    <mergeCell ref="F54:I54"/>
    <mergeCell ref="F56:I56"/>
    <mergeCell ref="B57:E57"/>
    <mergeCell ref="F57:I57"/>
    <mergeCell ref="B58:E58"/>
    <mergeCell ref="F58:I58"/>
    <mergeCell ref="B59:E59"/>
    <mergeCell ref="F76:I76"/>
    <mergeCell ref="F77:I77"/>
    <mergeCell ref="F78:I78"/>
    <mergeCell ref="F79:I79"/>
    <mergeCell ref="F80:I80"/>
    <mergeCell ref="F84:I84"/>
    <mergeCell ref="F85:I85"/>
    <mergeCell ref="F86:I86"/>
    <mergeCell ref="F81:I81"/>
    <mergeCell ref="F82:I82"/>
    <mergeCell ref="F83:I83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zoomScale="85" zoomScaleNormal="85" workbookViewId="0">
      <selection activeCell="E27" sqref="E27"/>
    </sheetView>
  </sheetViews>
  <sheetFormatPr defaultColWidth="9" defaultRowHeight="15"/>
  <cols>
    <col min="1" max="1" width="39.140625" style="1" customWidth="1"/>
    <col min="2" max="3" width="21.85546875" style="1" customWidth="1"/>
    <col min="4" max="4" width="21.85546875" style="10" customWidth="1"/>
    <col min="5" max="5" width="21.85546875" style="304" customWidth="1"/>
    <col min="6" max="8" width="21.85546875" style="1" customWidth="1"/>
    <col min="9" max="9" width="20" style="1" customWidth="1"/>
    <col min="10" max="10" width="21" style="1" customWidth="1"/>
    <col min="11" max="11" width="20" style="1" customWidth="1"/>
    <col min="12" max="12" width="18.85546875" style="6" customWidth="1"/>
    <col min="13" max="13" width="30.42578125" style="1" bestFit="1" customWidth="1"/>
    <col min="14" max="16384" width="9" style="1"/>
  </cols>
  <sheetData>
    <row r="1" spans="1:13" ht="42.75" customHeight="1">
      <c r="A1" s="220" t="s">
        <v>6765</v>
      </c>
      <c r="B1" s="216" t="s">
        <v>6770</v>
      </c>
      <c r="C1" s="241" t="s">
        <v>7951</v>
      </c>
      <c r="D1" s="287" t="s">
        <v>7952</v>
      </c>
      <c r="E1" s="302" t="s">
        <v>8123</v>
      </c>
      <c r="F1" s="241" t="s">
        <v>7953</v>
      </c>
      <c r="G1" s="297" t="s">
        <v>8122</v>
      </c>
      <c r="H1" s="297" t="s">
        <v>8121</v>
      </c>
      <c r="I1" s="216" t="s">
        <v>7955</v>
      </c>
      <c r="J1" s="216" t="s">
        <v>7956</v>
      </c>
      <c r="K1" s="216" t="s">
        <v>7957</v>
      </c>
      <c r="L1" s="216" t="s">
        <v>8112</v>
      </c>
    </row>
    <row r="2" spans="1:13" ht="25.5" customHeight="1">
      <c r="A2" s="218" t="s">
        <v>7938</v>
      </c>
      <c r="B2" s="221"/>
      <c r="C2" s="221">
        <f>1500*2/8*4*1.2</f>
        <v>1800</v>
      </c>
      <c r="D2" s="288"/>
      <c r="E2" s="222"/>
      <c r="F2" s="221">
        <f>1500*2/8*2</f>
        <v>750</v>
      </c>
      <c r="G2" s="221"/>
      <c r="H2" s="221"/>
      <c r="I2" s="7"/>
      <c r="J2" s="7"/>
      <c r="K2" s="7"/>
      <c r="L2" s="7"/>
      <c r="M2" s="1" t="s">
        <v>7939</v>
      </c>
    </row>
    <row r="3" spans="1:13" ht="25.5" customHeight="1">
      <c r="A3" s="218" t="s">
        <v>7940</v>
      </c>
      <c r="B3" s="221"/>
      <c r="C3" s="221"/>
      <c r="D3" s="288">
        <f>1400/8*2</f>
        <v>350</v>
      </c>
      <c r="E3" s="222"/>
      <c r="F3" s="7"/>
      <c r="G3" s="7"/>
      <c r="H3" s="7"/>
      <c r="I3" s="221">
        <f>1400/8*1+(1400/8*2*1.2)</f>
        <v>595</v>
      </c>
      <c r="J3" s="7"/>
      <c r="K3" s="7"/>
      <c r="L3" s="7"/>
      <c r="M3" s="1" t="s">
        <v>7941</v>
      </c>
    </row>
    <row r="4" spans="1:13" ht="25.5" customHeight="1">
      <c r="A4" s="218" t="s">
        <v>8110</v>
      </c>
      <c r="B4" s="222"/>
      <c r="C4" s="222"/>
      <c r="D4" s="288"/>
      <c r="E4" s="222"/>
      <c r="F4" s="222"/>
      <c r="G4" s="222"/>
      <c r="H4" s="222"/>
      <c r="I4" s="7"/>
      <c r="J4" s="7"/>
      <c r="K4" s="7"/>
      <c r="L4" s="7">
        <f>1500/8*3*1.2</f>
        <v>675</v>
      </c>
      <c r="M4" s="1" t="s">
        <v>8111</v>
      </c>
    </row>
    <row r="5" spans="1:13" ht="25.5" customHeight="1">
      <c r="A5" s="219" t="s">
        <v>7942</v>
      </c>
      <c r="B5" s="222"/>
      <c r="C5" s="222"/>
      <c r="D5" s="288">
        <f>1400/8*3*1.2</f>
        <v>630</v>
      </c>
      <c r="E5" s="222"/>
      <c r="F5" s="222"/>
      <c r="G5" s="222"/>
      <c r="H5" s="222"/>
      <c r="I5" s="7"/>
      <c r="J5" s="222">
        <f>1400/8*3</f>
        <v>525</v>
      </c>
      <c r="K5" s="7"/>
      <c r="L5" s="7"/>
      <c r="M5" s="1" t="s">
        <v>7943</v>
      </c>
    </row>
    <row r="6" spans="1:13" ht="25.5" customHeight="1">
      <c r="A6" s="219" t="s">
        <v>7944</v>
      </c>
      <c r="B6" s="221"/>
      <c r="C6" s="222">
        <f>1400*3/8*2*1.2</f>
        <v>1260</v>
      </c>
      <c r="D6" s="288"/>
      <c r="E6" s="222"/>
      <c r="F6" s="221"/>
      <c r="G6" s="221"/>
      <c r="H6" s="221"/>
      <c r="I6" s="7"/>
      <c r="J6" s="222">
        <f>1400*3/8*3</f>
        <v>1575</v>
      </c>
      <c r="K6" s="7"/>
      <c r="L6" s="7"/>
      <c r="M6" s="1" t="s">
        <v>7945</v>
      </c>
    </row>
    <row r="7" spans="1:13" ht="25.5" customHeight="1">
      <c r="A7" s="219" t="s">
        <v>8113</v>
      </c>
      <c r="B7" s="221"/>
      <c r="C7" s="222"/>
      <c r="D7" s="288">
        <f>1300/8*1.2</f>
        <v>195</v>
      </c>
      <c r="E7" s="222"/>
      <c r="F7" s="221"/>
      <c r="G7" s="221"/>
      <c r="H7" s="221"/>
      <c r="I7" s="7">
        <f>1500/8*3*1.12</f>
        <v>630.00000000000011</v>
      </c>
      <c r="J7" s="222"/>
      <c r="K7" s="7"/>
      <c r="L7" s="7"/>
      <c r="M7" s="1" t="s">
        <v>8114</v>
      </c>
    </row>
    <row r="8" spans="1:13" ht="25.5" customHeight="1">
      <c r="A8" s="219" t="s">
        <v>7946</v>
      </c>
      <c r="B8" s="221"/>
      <c r="C8" s="221"/>
      <c r="D8" s="288"/>
      <c r="E8" s="222"/>
      <c r="F8" s="221"/>
      <c r="G8" s="221"/>
      <c r="H8" s="221"/>
      <c r="I8" s="7">
        <f>1400*2/8*5*1.2</f>
        <v>2100</v>
      </c>
      <c r="J8" s="7"/>
      <c r="K8" s="7"/>
      <c r="L8" s="7"/>
      <c r="M8" s="1" t="s">
        <v>7947</v>
      </c>
    </row>
    <row r="9" spans="1:13" ht="25.5" customHeight="1">
      <c r="A9" s="218" t="s">
        <v>8115</v>
      </c>
      <c r="B9" s="221"/>
      <c r="C9" s="221"/>
      <c r="D9" s="288"/>
      <c r="E9" s="222"/>
      <c r="F9" s="221"/>
      <c r="G9" s="221"/>
      <c r="H9" s="221"/>
      <c r="I9" s="221">
        <f>1300/100*65.4*1.1</f>
        <v>935.22000000000014</v>
      </c>
      <c r="J9" s="7"/>
      <c r="K9" s="7">
        <f>1300/100*21.2*1.2</f>
        <v>330.71999999999997</v>
      </c>
      <c r="L9" s="7"/>
      <c r="M9" s="1" t="s">
        <v>8116</v>
      </c>
    </row>
    <row r="10" spans="1:13" ht="25.5" customHeight="1">
      <c r="A10" s="218" t="s">
        <v>8117</v>
      </c>
      <c r="B10" s="221"/>
      <c r="C10" s="221">
        <f>1500/8*1</f>
        <v>187.5</v>
      </c>
      <c r="D10" s="288"/>
      <c r="E10" s="222"/>
      <c r="F10" s="221"/>
      <c r="G10" s="221"/>
      <c r="H10" s="221"/>
      <c r="I10" s="7"/>
      <c r="J10" s="222">
        <f>1500/8*5</f>
        <v>937.5</v>
      </c>
      <c r="K10" s="7"/>
      <c r="L10" s="7"/>
      <c r="M10" s="1" t="s">
        <v>7948</v>
      </c>
    </row>
    <row r="11" spans="1:13" ht="25.5" customHeight="1">
      <c r="A11" s="218" t="s">
        <v>7949</v>
      </c>
      <c r="B11" s="221"/>
      <c r="C11" s="221"/>
      <c r="D11" s="14">
        <f>1400*3/8*2*1.2</f>
        <v>1260</v>
      </c>
      <c r="E11" s="303"/>
      <c r="F11" s="221"/>
      <c r="G11" s="221"/>
      <c r="H11" s="221"/>
      <c r="I11" s="7"/>
      <c r="J11" s="7">
        <f>1400*3/8*3</f>
        <v>1575</v>
      </c>
      <c r="K11" s="7"/>
      <c r="L11" s="7"/>
      <c r="M11" s="1" t="s">
        <v>7950</v>
      </c>
    </row>
    <row r="12" spans="1:13" ht="25.5" customHeight="1">
      <c r="A12" s="218" t="s">
        <v>8118</v>
      </c>
      <c r="B12" s="221"/>
      <c r="C12" s="221"/>
      <c r="D12" s="288"/>
      <c r="E12" s="222"/>
      <c r="F12" s="221"/>
      <c r="G12" s="221"/>
      <c r="H12" s="221"/>
      <c r="I12" s="7"/>
      <c r="J12" s="7">
        <f>1300/8*3</f>
        <v>487.5</v>
      </c>
      <c r="K12" s="7"/>
      <c r="L12" s="7"/>
      <c r="M12" s="1" t="s">
        <v>8119</v>
      </c>
    </row>
    <row r="13" spans="1:13" ht="25.5" customHeight="1">
      <c r="A13" s="26" t="s">
        <v>8120</v>
      </c>
      <c r="B13" s="7"/>
      <c r="C13" s="7"/>
      <c r="D13" s="14"/>
      <c r="E13" s="303">
        <f>1300/8*4*1.2</f>
        <v>780</v>
      </c>
      <c r="F13" s="7"/>
      <c r="G13" s="7"/>
      <c r="H13" s="7">
        <f>1300/8*1.2</f>
        <v>195</v>
      </c>
      <c r="I13" s="7"/>
      <c r="J13" s="7"/>
      <c r="K13" s="7"/>
      <c r="L13" s="7"/>
      <c r="M13" s="1" t="s">
        <v>8124</v>
      </c>
    </row>
    <row r="14" spans="1:13" ht="25.5" customHeight="1">
      <c r="A14" s="26" t="s">
        <v>7954</v>
      </c>
      <c r="B14" s="7"/>
      <c r="C14" s="7">
        <f>1500/8*2</f>
        <v>375</v>
      </c>
      <c r="D14" s="14"/>
      <c r="E14" s="303"/>
      <c r="F14" s="7">
        <f>1500/8*3</f>
        <v>562.5</v>
      </c>
      <c r="G14" s="7"/>
      <c r="H14" s="7"/>
      <c r="I14" s="7"/>
      <c r="J14" s="7"/>
      <c r="K14" s="7"/>
      <c r="L14" s="7"/>
      <c r="M14" s="1" t="s">
        <v>8127</v>
      </c>
    </row>
    <row r="15" spans="1:13" ht="25.5" customHeight="1">
      <c r="A15" s="26" t="s">
        <v>8125</v>
      </c>
      <c r="B15" s="7"/>
      <c r="C15" s="7">
        <f>3000/8</f>
        <v>375</v>
      </c>
      <c r="D15" s="14"/>
      <c r="E15" s="303"/>
      <c r="F15" s="7"/>
      <c r="G15" s="7">
        <f>3000/8*4</f>
        <v>1500</v>
      </c>
      <c r="H15" s="7"/>
      <c r="I15" s="7"/>
      <c r="J15" s="7"/>
      <c r="K15" s="7"/>
      <c r="L15" s="7"/>
      <c r="M15" s="1" t="s">
        <v>8126</v>
      </c>
    </row>
    <row r="16" spans="1:13" ht="25.5" customHeight="1">
      <c r="A16" s="26"/>
      <c r="B16" s="7"/>
      <c r="C16" s="7"/>
      <c r="D16" s="14"/>
      <c r="E16" s="303"/>
      <c r="F16" s="7"/>
      <c r="G16" s="7"/>
      <c r="H16" s="7"/>
      <c r="I16" s="7"/>
      <c r="J16" s="7"/>
      <c r="K16" s="7"/>
      <c r="L16" s="7"/>
    </row>
    <row r="17" spans="1:14" ht="25.5" customHeight="1">
      <c r="A17" s="26"/>
      <c r="B17" s="7"/>
      <c r="C17" s="7"/>
      <c r="D17" s="14"/>
      <c r="E17" s="303"/>
      <c r="F17" s="7"/>
      <c r="G17" s="7"/>
      <c r="H17" s="7"/>
      <c r="I17" s="7"/>
      <c r="J17" s="7"/>
      <c r="K17" s="7"/>
      <c r="L17" s="7"/>
    </row>
    <row r="18" spans="1:14" ht="25.5" customHeight="1">
      <c r="A18" s="26"/>
      <c r="B18" s="7"/>
      <c r="C18" s="7"/>
      <c r="D18" s="14"/>
      <c r="E18" s="303"/>
      <c r="F18" s="7"/>
      <c r="G18" s="7"/>
      <c r="H18" s="7"/>
      <c r="I18" s="7"/>
      <c r="J18" s="7"/>
      <c r="K18" s="7"/>
      <c r="L18" s="7"/>
    </row>
    <row r="19" spans="1:14" ht="29.25" customHeight="1">
      <c r="A19" s="60" t="s">
        <v>6769</v>
      </c>
      <c r="B19" s="188">
        <f>SUM(B2:B18)/26/20</f>
        <v>0</v>
      </c>
      <c r="C19" s="188">
        <f>SUM(C2:C18)/26/20</f>
        <v>7.6875</v>
      </c>
      <c r="D19" s="188">
        <f>SUM(D2:D18)/26/20</f>
        <v>4.6826923076923084</v>
      </c>
      <c r="E19" s="188">
        <f t="shared" ref="E19:K19" si="0">SUM(E2:E18)/26/20</f>
        <v>1.5</v>
      </c>
      <c r="F19" s="188">
        <f t="shared" si="0"/>
        <v>2.5240384615384617</v>
      </c>
      <c r="G19" s="188">
        <f t="shared" si="0"/>
        <v>2.8846153846153846</v>
      </c>
      <c r="H19" s="188">
        <f t="shared" si="0"/>
        <v>0.375</v>
      </c>
      <c r="I19" s="188">
        <f t="shared" si="0"/>
        <v>8.1927307692307689</v>
      </c>
      <c r="J19" s="188">
        <f t="shared" si="0"/>
        <v>9.8076923076923084</v>
      </c>
      <c r="K19" s="188">
        <f t="shared" si="0"/>
        <v>0.6359999999999999</v>
      </c>
      <c r="L19" s="188">
        <f>SUM(L2:L18)/26/20</f>
        <v>1.2980769230769229</v>
      </c>
      <c r="M19" s="170">
        <f>SUM(B19:L19)</f>
        <v>39.588346153846153</v>
      </c>
      <c r="N19" s="226">
        <f>68-M19</f>
        <v>28.411653846153847</v>
      </c>
    </row>
    <row r="21" spans="1:14">
      <c r="C21" s="226">
        <f>C19+D19</f>
        <v>12.370192307692308</v>
      </c>
    </row>
    <row r="22" spans="1:14">
      <c r="I22" s="226">
        <f>I19+J19</f>
        <v>18.000423076923077</v>
      </c>
    </row>
    <row r="59" spans="13:13">
      <c r="M59" s="1">
        <f>M58-SUM(L57:L64)</f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workbookViewId="0">
      <selection activeCell="E17" sqref="E17"/>
    </sheetView>
  </sheetViews>
  <sheetFormatPr defaultColWidth="9" defaultRowHeight="15"/>
  <cols>
    <col min="1" max="1" width="39.140625" style="1" customWidth="1"/>
    <col min="2" max="5" width="21.85546875" style="1" customWidth="1"/>
    <col min="6" max="6" width="20" style="1" customWidth="1"/>
    <col min="7" max="8" width="21" style="1" customWidth="1"/>
    <col min="9" max="9" width="20" style="1" customWidth="1"/>
    <col min="10" max="10" width="18.85546875" style="282" customWidth="1"/>
    <col min="11" max="11" width="30.42578125" style="1" bestFit="1" customWidth="1"/>
    <col min="12" max="16384" width="9" style="1"/>
  </cols>
  <sheetData>
    <row r="1" spans="1:11" ht="42.75" customHeight="1">
      <c r="A1" s="220" t="s">
        <v>6765</v>
      </c>
      <c r="B1" s="283" t="s">
        <v>6770</v>
      </c>
      <c r="C1" s="283" t="s">
        <v>7066</v>
      </c>
      <c r="D1" s="283" t="s">
        <v>7149</v>
      </c>
      <c r="E1" s="283" t="s">
        <v>7135</v>
      </c>
      <c r="F1" s="283" t="s">
        <v>8253</v>
      </c>
      <c r="G1" s="283" t="s">
        <v>6766</v>
      </c>
      <c r="H1" s="310" t="s">
        <v>8254</v>
      </c>
      <c r="I1" s="283" t="s">
        <v>6767</v>
      </c>
      <c r="J1" s="283" t="s">
        <v>6768</v>
      </c>
    </row>
    <row r="2" spans="1:11" ht="25.5" customHeight="1">
      <c r="A2" s="218" t="s">
        <v>8251</v>
      </c>
      <c r="B2" s="221"/>
      <c r="C2" s="221"/>
      <c r="D2" s="221"/>
      <c r="E2" s="221"/>
      <c r="F2" s="7">
        <f>1500/8*6*1.15</f>
        <v>1293.75</v>
      </c>
      <c r="G2" s="7"/>
      <c r="H2" s="7"/>
      <c r="I2" s="7"/>
      <c r="J2" s="7"/>
      <c r="K2" s="1" t="s">
        <v>8252</v>
      </c>
    </row>
    <row r="3" spans="1:11" ht="25.5" customHeight="1">
      <c r="A3" s="218" t="s">
        <v>7935</v>
      </c>
      <c r="B3" s="221"/>
      <c r="C3" s="221"/>
      <c r="D3" s="221"/>
      <c r="E3" s="7">
        <f>(1500*2)/100*16.1*1.15</f>
        <v>555.45000000000005</v>
      </c>
      <c r="F3" s="7"/>
      <c r="G3" s="7">
        <f>(1500*2)/100*67.8*1.1</f>
        <v>2237.4</v>
      </c>
      <c r="H3" s="7"/>
      <c r="I3" s="7"/>
      <c r="J3" s="7"/>
    </row>
    <row r="4" spans="1:11" ht="25.5" customHeight="1">
      <c r="A4" s="218" t="s">
        <v>8411</v>
      </c>
      <c r="B4" s="221"/>
      <c r="C4" s="221"/>
      <c r="D4" s="221"/>
      <c r="E4" s="7"/>
      <c r="F4" s="7"/>
      <c r="G4" s="7"/>
      <c r="H4" s="7">
        <f>1500*2/8*6*1.1</f>
        <v>2475</v>
      </c>
      <c r="I4" s="7"/>
      <c r="J4" s="7"/>
      <c r="K4" s="1" t="s">
        <v>8412</v>
      </c>
    </row>
    <row r="5" spans="1:11" ht="25.5" customHeight="1">
      <c r="A5" s="219" t="s">
        <v>8255</v>
      </c>
      <c r="B5" s="222"/>
      <c r="C5" s="222"/>
      <c r="D5" s="222"/>
      <c r="E5" s="222"/>
      <c r="F5" s="7"/>
      <c r="G5" s="7"/>
      <c r="H5" s="7">
        <f>1500/8*3*1.2</f>
        <v>675</v>
      </c>
      <c r="I5" s="7"/>
      <c r="J5" s="7"/>
      <c r="K5" s="1" t="s">
        <v>8256</v>
      </c>
    </row>
    <row r="6" spans="1:11" ht="25.5" customHeight="1">
      <c r="A6" s="219" t="s">
        <v>8257</v>
      </c>
      <c r="B6" s="222"/>
      <c r="C6" s="222"/>
      <c r="D6" s="222"/>
      <c r="E6" s="222"/>
      <c r="F6" s="7"/>
      <c r="G6" s="7"/>
      <c r="H6" s="7">
        <f>1500/8*4*1.2</f>
        <v>900</v>
      </c>
      <c r="I6" s="7"/>
      <c r="J6" s="7">
        <f>1500/8*2</f>
        <v>375</v>
      </c>
      <c r="K6" s="1" t="s">
        <v>8258</v>
      </c>
    </row>
    <row r="7" spans="1:11" ht="25.5" customHeight="1">
      <c r="A7" s="219"/>
      <c r="B7" s="221"/>
      <c r="C7" s="221"/>
      <c r="D7" s="221"/>
      <c r="E7" s="221"/>
      <c r="F7" s="7"/>
      <c r="G7" s="7"/>
      <c r="H7" s="7"/>
      <c r="I7" s="7"/>
      <c r="J7" s="7"/>
    </row>
    <row r="8" spans="1:11" ht="25.5" customHeight="1">
      <c r="A8" s="218" t="s">
        <v>8259</v>
      </c>
      <c r="B8" s="221"/>
      <c r="C8" s="221"/>
      <c r="D8" s="221"/>
      <c r="E8" s="221"/>
      <c r="F8" s="7">
        <f>1500*1/8*5*1.2</f>
        <v>1125</v>
      </c>
      <c r="G8" s="7"/>
      <c r="H8" s="7"/>
      <c r="I8" s="7"/>
      <c r="J8" s="7"/>
    </row>
    <row r="9" spans="1:11" ht="25.5" customHeight="1">
      <c r="A9" s="218" t="s">
        <v>8260</v>
      </c>
      <c r="B9" s="221"/>
      <c r="C9" s="221"/>
      <c r="D9" s="221"/>
      <c r="E9" s="221"/>
      <c r="F9" s="7"/>
      <c r="G9" s="7">
        <f>1500*1/8*2*1.2</f>
        <v>450</v>
      </c>
      <c r="H9" s="7"/>
      <c r="I9" s="7"/>
      <c r="J9" s="7">
        <f>1500*1/8*4</f>
        <v>750</v>
      </c>
      <c r="K9" s="1" t="s">
        <v>8261</v>
      </c>
    </row>
    <row r="10" spans="1:11" ht="25.5" customHeight="1">
      <c r="A10" s="218" t="s">
        <v>8262</v>
      </c>
      <c r="B10" s="221"/>
      <c r="C10" s="221"/>
      <c r="D10" s="221"/>
      <c r="E10" s="221"/>
      <c r="F10" s="7"/>
      <c r="G10" s="7"/>
      <c r="H10" s="7">
        <f>1500/8*6*1.2</f>
        <v>1350</v>
      </c>
      <c r="I10" s="7"/>
      <c r="J10" s="7"/>
      <c r="K10" s="1" t="s">
        <v>8263</v>
      </c>
    </row>
    <row r="11" spans="1:11" ht="25.5" customHeight="1">
      <c r="A11" s="218" t="s">
        <v>8264</v>
      </c>
      <c r="B11" s="221"/>
      <c r="C11" s="221"/>
      <c r="D11" s="221"/>
      <c r="E11" s="221"/>
      <c r="F11" s="7"/>
      <c r="G11" s="7"/>
      <c r="H11" s="7">
        <f>1500/8*6*1.2</f>
        <v>1350</v>
      </c>
      <c r="I11" s="7"/>
      <c r="J11" s="7"/>
      <c r="K11" s="1" t="s">
        <v>8265</v>
      </c>
    </row>
    <row r="12" spans="1:11" ht="25.5" customHeight="1">
      <c r="A12" s="218"/>
      <c r="B12" s="221"/>
      <c r="C12" s="221"/>
      <c r="D12" s="221"/>
      <c r="E12" s="221"/>
      <c r="F12" s="7"/>
      <c r="G12" s="7"/>
      <c r="H12" s="7"/>
      <c r="I12" s="7"/>
      <c r="J12" s="7"/>
    </row>
    <row r="13" spans="1:11" ht="25.5" customHeight="1">
      <c r="A13" s="26" t="s">
        <v>8266</v>
      </c>
      <c r="B13" s="7"/>
      <c r="C13" s="7"/>
      <c r="D13" s="7"/>
      <c r="E13" s="7"/>
      <c r="F13" s="7">
        <f>(1500/8*3*1.2)+(1500/8*3)</f>
        <v>1237.5</v>
      </c>
      <c r="G13" s="7"/>
      <c r="H13" s="7"/>
      <c r="I13" s="7"/>
      <c r="J13" s="7"/>
      <c r="K13" s="1" t="s">
        <v>8267</v>
      </c>
    </row>
    <row r="14" spans="1:11" ht="25.5" customHeight="1">
      <c r="A14" s="26" t="s">
        <v>8413</v>
      </c>
      <c r="B14" s="7"/>
      <c r="C14" s="7"/>
      <c r="D14" s="7"/>
      <c r="E14" s="7"/>
      <c r="F14" s="7"/>
      <c r="G14" s="7"/>
      <c r="H14" s="7">
        <f>1500/8*6*1.2</f>
        <v>1350</v>
      </c>
      <c r="I14" s="7"/>
      <c r="J14" s="7"/>
      <c r="K14" s="1" t="s">
        <v>8269</v>
      </c>
    </row>
    <row r="15" spans="1:11" ht="25.5" customHeight="1">
      <c r="A15" s="26" t="s">
        <v>8414</v>
      </c>
      <c r="B15" s="7"/>
      <c r="C15" s="7"/>
      <c r="D15" s="7"/>
      <c r="E15" s="7"/>
      <c r="F15" s="7"/>
      <c r="G15" s="7"/>
      <c r="H15" s="7">
        <f>1200/8*6*1.15</f>
        <v>1035</v>
      </c>
      <c r="I15" s="7"/>
      <c r="J15" s="7"/>
      <c r="K15" s="1" t="s">
        <v>8415</v>
      </c>
    </row>
    <row r="16" spans="1:11" ht="25.5" customHeight="1">
      <c r="A16" s="26" t="s">
        <v>8268</v>
      </c>
      <c r="B16" s="7"/>
      <c r="C16" s="7"/>
      <c r="D16" s="7"/>
      <c r="E16" s="7"/>
      <c r="F16" s="7"/>
      <c r="G16" s="7"/>
      <c r="H16" s="7">
        <f>1500/8*6*1.2</f>
        <v>1350</v>
      </c>
      <c r="I16" s="7"/>
      <c r="J16" s="7"/>
      <c r="K16" s="1" t="s">
        <v>8269</v>
      </c>
    </row>
    <row r="17" spans="1:12" ht="25.5" customHeight="1">
      <c r="A17" s="26" t="s">
        <v>8270</v>
      </c>
      <c r="B17" s="7"/>
      <c r="C17" s="7"/>
      <c r="D17" s="7"/>
      <c r="E17" s="7"/>
      <c r="F17" s="7"/>
      <c r="G17" s="7">
        <f>1500/8*3*1.2</f>
        <v>675</v>
      </c>
      <c r="H17" s="7"/>
      <c r="I17" s="7"/>
      <c r="J17" s="7"/>
      <c r="K17" s="1" t="s">
        <v>7936</v>
      </c>
    </row>
    <row r="18" spans="1:12" ht="25.5" customHeight="1">
      <c r="A18" s="26" t="s">
        <v>8416</v>
      </c>
      <c r="B18" s="7"/>
      <c r="C18" s="7"/>
      <c r="D18" s="7"/>
      <c r="E18" s="7"/>
      <c r="F18" s="7"/>
      <c r="G18" s="7"/>
      <c r="H18" s="7">
        <f>1500/8*3*1.2</f>
        <v>675</v>
      </c>
      <c r="I18" s="7"/>
      <c r="J18" s="7"/>
      <c r="K18" s="1" t="s">
        <v>8417</v>
      </c>
    </row>
    <row r="19" spans="1:12" ht="25.5" customHeight="1">
      <c r="A19" s="26" t="s">
        <v>8418</v>
      </c>
      <c r="B19" s="7"/>
      <c r="C19" s="7"/>
      <c r="D19" s="7"/>
      <c r="E19" s="7"/>
      <c r="F19" s="7">
        <f>1500/8*3*1.2</f>
        <v>675</v>
      </c>
      <c r="G19" s="7"/>
      <c r="H19" s="7"/>
      <c r="I19" s="7"/>
      <c r="J19" s="7"/>
      <c r="K19" s="1" t="s">
        <v>8419</v>
      </c>
    </row>
    <row r="20" spans="1:12" ht="25.5" customHeight="1">
      <c r="A20" s="26"/>
      <c r="B20" s="7"/>
      <c r="C20" s="7"/>
      <c r="D20" s="7"/>
      <c r="E20" s="7"/>
      <c r="F20" s="7"/>
      <c r="G20" s="7"/>
      <c r="H20" s="7"/>
      <c r="I20" s="7"/>
      <c r="J20" s="7"/>
    </row>
    <row r="21" spans="1:12" ht="29.25" customHeight="1">
      <c r="A21" s="60" t="s">
        <v>6769</v>
      </c>
      <c r="B21" s="188">
        <f>SUM(B2:B20)/26/20</f>
        <v>0</v>
      </c>
      <c r="C21" s="188">
        <f t="shared" ref="C21:I21" si="0">SUM(C2:C20)/26/20</f>
        <v>0</v>
      </c>
      <c r="D21" s="188">
        <f t="shared" si="0"/>
        <v>0</v>
      </c>
      <c r="E21" s="188">
        <f t="shared" si="0"/>
        <v>1.0681730769230771</v>
      </c>
      <c r="F21" s="188">
        <f t="shared" si="0"/>
        <v>8.3293269230769234</v>
      </c>
      <c r="G21" s="188">
        <f t="shared" si="0"/>
        <v>6.4661538461538468</v>
      </c>
      <c r="H21" s="188">
        <f>SUM(H2:H20)/26/20</f>
        <v>21.46153846153846</v>
      </c>
      <c r="I21" s="188">
        <f t="shared" si="0"/>
        <v>0</v>
      </c>
      <c r="J21" s="188">
        <f>SUM(J2:J20)/26/20</f>
        <v>2.1634615384615383</v>
      </c>
      <c r="K21" s="170">
        <f>SUM(B21:J21)</f>
        <v>39.488653846153845</v>
      </c>
      <c r="L21" s="226">
        <f>68-K21</f>
        <v>28.511346153846155</v>
      </c>
    </row>
    <row r="24" spans="1:12">
      <c r="F24" s="226">
        <f>F21+G21+H21</f>
        <v>36.257019230769231</v>
      </c>
    </row>
    <row r="61" spans="11:11">
      <c r="K61" s="1">
        <f>K60-SUM(J59:J66)</f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8"/>
  <sheetViews>
    <sheetView workbookViewId="0">
      <selection activeCell="D13" sqref="D13"/>
    </sheetView>
  </sheetViews>
  <sheetFormatPr defaultRowHeight="15"/>
  <cols>
    <col min="1" max="4" width="24.5703125" customWidth="1"/>
    <col min="5" max="6" width="19" customWidth="1"/>
  </cols>
  <sheetData>
    <row r="2" spans="1:6" ht="51.75" customHeight="1">
      <c r="A2" s="33" t="s">
        <v>1706</v>
      </c>
      <c r="B2" s="32" t="s">
        <v>1707</v>
      </c>
      <c r="C2" s="32" t="s">
        <v>1716</v>
      </c>
      <c r="D2" s="32" t="s">
        <v>1714</v>
      </c>
    </row>
    <row r="3" spans="1:6" ht="51.75" customHeight="1">
      <c r="A3" s="34" t="s">
        <v>1728</v>
      </c>
      <c r="B3" s="32" t="s">
        <v>1723</v>
      </c>
      <c r="C3" s="32"/>
      <c r="D3" s="32" t="s">
        <v>1726</v>
      </c>
    </row>
    <row r="4" spans="1:6" ht="51.75" customHeight="1">
      <c r="A4" s="34" t="s">
        <v>1729</v>
      </c>
      <c r="B4" s="32"/>
      <c r="C4" s="32" t="s">
        <v>1721</v>
      </c>
      <c r="D4" s="32" t="s">
        <v>1720</v>
      </c>
    </row>
    <row r="5" spans="1:6" ht="51.75" customHeight="1">
      <c r="A5" s="34" t="s">
        <v>1708</v>
      </c>
      <c r="B5" s="32" t="s">
        <v>1709</v>
      </c>
      <c r="C5" s="32" t="s">
        <v>1722</v>
      </c>
      <c r="D5" s="32" t="s">
        <v>1715</v>
      </c>
    </row>
    <row r="6" spans="1:6" ht="51.75" customHeight="1">
      <c r="A6" s="34" t="s">
        <v>1710</v>
      </c>
      <c r="B6" s="32" t="s">
        <v>1719</v>
      </c>
      <c r="C6" s="32"/>
      <c r="D6" s="32" t="s">
        <v>1711</v>
      </c>
    </row>
    <row r="7" spans="1:6" ht="51.75" customHeight="1">
      <c r="A7" s="34" t="s">
        <v>1712</v>
      </c>
      <c r="B7" s="32" t="s">
        <v>1713</v>
      </c>
      <c r="C7" s="32"/>
      <c r="D7" s="32"/>
    </row>
    <row r="8" spans="1:6" ht="51.75" customHeight="1">
      <c r="A8" s="34" t="s">
        <v>1717</v>
      </c>
      <c r="B8" s="32"/>
      <c r="C8" s="32" t="s">
        <v>1725</v>
      </c>
      <c r="D8" s="32" t="s">
        <v>1718</v>
      </c>
      <c r="E8" s="32" t="s">
        <v>1724</v>
      </c>
      <c r="F8" s="32" t="s">
        <v>1727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"/>
  <sheetViews>
    <sheetView topLeftCell="J1" zoomScale="85" zoomScaleNormal="85" workbookViewId="0">
      <selection activeCell="N20" sqref="N20"/>
    </sheetView>
  </sheetViews>
  <sheetFormatPr defaultColWidth="9" defaultRowHeight="15"/>
  <cols>
    <col min="1" max="1" width="19.42578125" style="1" hidden="1" customWidth="1"/>
    <col min="2" max="2" width="35.7109375" style="1" customWidth="1"/>
    <col min="3" max="3" width="38.42578125" style="1" bestFit="1" customWidth="1"/>
    <col min="4" max="4" width="47.85546875" style="1" bestFit="1" customWidth="1"/>
    <col min="5" max="5" width="35.28515625" style="6" bestFit="1" customWidth="1"/>
    <col min="6" max="7" width="31.85546875" style="6" bestFit="1" customWidth="1"/>
    <col min="8" max="8" width="31" style="6" bestFit="1" customWidth="1"/>
    <col min="9" max="9" width="26.85546875" style="6" bestFit="1" customWidth="1"/>
    <col min="10" max="10" width="32.7109375" style="6" bestFit="1" customWidth="1"/>
    <col min="11" max="11" width="45" style="6" bestFit="1" customWidth="1"/>
    <col min="12" max="12" width="42.42578125" style="81" customWidth="1"/>
    <col min="13" max="13" width="45.7109375" style="1" customWidth="1"/>
    <col min="14" max="14" width="46.28515625" style="1" customWidth="1"/>
    <col min="15" max="15" width="42.85546875" style="1" customWidth="1"/>
    <col min="16" max="16" width="35.7109375" style="1" customWidth="1"/>
    <col min="17" max="16384" width="9" style="1"/>
  </cols>
  <sheetData>
    <row r="1" spans="1:16" ht="24.75" customHeight="1"/>
    <row r="2" spans="1:16" ht="23.25" customHeight="1">
      <c r="B2" s="6" t="s">
        <v>2388</v>
      </c>
      <c r="C2" s="6" t="s">
        <v>2388</v>
      </c>
      <c r="D2" s="6" t="s">
        <v>2388</v>
      </c>
      <c r="E2" s="6" t="s">
        <v>6876</v>
      </c>
      <c r="F2" s="6" t="s">
        <v>2388</v>
      </c>
      <c r="G2" s="6" t="s">
        <v>2388</v>
      </c>
      <c r="H2" s="6" t="s">
        <v>2388</v>
      </c>
      <c r="I2" s="6" t="s">
        <v>2388</v>
      </c>
      <c r="J2" s="6" t="s">
        <v>2388</v>
      </c>
      <c r="K2" s="97" t="s">
        <v>2389</v>
      </c>
      <c r="L2" s="98" t="s">
        <v>2389</v>
      </c>
      <c r="M2" s="97" t="s">
        <v>2389</v>
      </c>
      <c r="N2" s="97" t="s">
        <v>2389</v>
      </c>
      <c r="O2" s="97" t="s">
        <v>2389</v>
      </c>
      <c r="P2" s="6" t="s">
        <v>4360</v>
      </c>
    </row>
    <row r="3" spans="1:16" ht="41.25" customHeight="1">
      <c r="A3" s="92" t="s">
        <v>3146</v>
      </c>
      <c r="B3" s="62" t="s">
        <v>3181</v>
      </c>
      <c r="C3" s="62" t="s">
        <v>3119</v>
      </c>
      <c r="D3" s="62" t="s">
        <v>2148</v>
      </c>
      <c r="E3" s="62" t="s">
        <v>6877</v>
      </c>
      <c r="F3" s="62" t="s">
        <v>2146</v>
      </c>
      <c r="G3" s="62" t="s">
        <v>2072</v>
      </c>
      <c r="H3" s="63" t="s">
        <v>2073</v>
      </c>
      <c r="I3" s="63" t="s">
        <v>2074</v>
      </c>
      <c r="J3" s="63" t="s">
        <v>7925</v>
      </c>
      <c r="K3" s="63" t="s">
        <v>2076</v>
      </c>
      <c r="L3" s="82" t="s">
        <v>2077</v>
      </c>
      <c r="M3" s="63" t="s">
        <v>2078</v>
      </c>
      <c r="N3" s="63" t="s">
        <v>2399</v>
      </c>
      <c r="O3" s="63" t="s">
        <v>2533</v>
      </c>
      <c r="P3" s="62" t="s">
        <v>7583</v>
      </c>
    </row>
    <row r="4" spans="1:16" ht="27.75" customHeight="1">
      <c r="A4" s="2"/>
      <c r="B4" s="15"/>
      <c r="C4" s="15" t="s">
        <v>4263</v>
      </c>
      <c r="D4" s="22" t="s">
        <v>3918</v>
      </c>
      <c r="E4" s="87" t="s">
        <v>2816</v>
      </c>
      <c r="F4" s="22" t="s">
        <v>2530</v>
      </c>
      <c r="G4" s="22" t="s">
        <v>2079</v>
      </c>
      <c r="H4" s="22" t="s">
        <v>2079</v>
      </c>
      <c r="I4" s="22" t="s">
        <v>2079</v>
      </c>
      <c r="J4" s="22" t="s">
        <v>2079</v>
      </c>
      <c r="K4" s="22" t="s">
        <v>2128</v>
      </c>
      <c r="L4" s="83" t="s">
        <v>2080</v>
      </c>
      <c r="M4" s="60" t="s">
        <v>2081</v>
      </c>
      <c r="N4" s="60" t="s">
        <v>2398</v>
      </c>
      <c r="O4" s="60" t="s">
        <v>2736</v>
      </c>
      <c r="P4" s="15"/>
    </row>
    <row r="5" spans="1:16" ht="27.75" customHeight="1">
      <c r="A5" s="2"/>
      <c r="B5" s="22" t="s">
        <v>4936</v>
      </c>
      <c r="C5" s="24" t="s">
        <v>4619</v>
      </c>
      <c r="D5" s="96" t="s">
        <v>4391</v>
      </c>
      <c r="E5" s="15" t="s">
        <v>4286</v>
      </c>
      <c r="F5" s="22" t="s">
        <v>2733</v>
      </c>
      <c r="G5" s="22" t="s">
        <v>2144</v>
      </c>
      <c r="H5" s="22" t="s">
        <v>2144</v>
      </c>
      <c r="I5" s="22" t="s">
        <v>2144</v>
      </c>
      <c r="J5" s="22" t="s">
        <v>2144</v>
      </c>
      <c r="K5" s="22" t="s">
        <v>2145</v>
      </c>
      <c r="L5" s="83" t="s">
        <v>2143</v>
      </c>
      <c r="M5" s="60" t="s">
        <v>2195</v>
      </c>
      <c r="N5" s="60" t="s">
        <v>2736</v>
      </c>
      <c r="O5" s="86" t="s">
        <v>2769</v>
      </c>
      <c r="P5" s="22" t="s">
        <v>4871</v>
      </c>
    </row>
    <row r="6" spans="1:16" ht="27.75" customHeight="1">
      <c r="A6" s="2"/>
      <c r="B6" s="2"/>
      <c r="C6" s="22" t="s">
        <v>4392</v>
      </c>
      <c r="D6" s="15" t="s">
        <v>4740</v>
      </c>
      <c r="E6" s="22" t="s">
        <v>4310</v>
      </c>
      <c r="F6" s="87" t="s">
        <v>2816</v>
      </c>
      <c r="G6" s="22" t="s">
        <v>2255</v>
      </c>
      <c r="H6" s="22" t="s">
        <v>2255</v>
      </c>
      <c r="I6" s="22" t="s">
        <v>2255</v>
      </c>
      <c r="J6" s="22" t="s">
        <v>2255</v>
      </c>
      <c r="K6" s="22" t="s">
        <v>2156</v>
      </c>
      <c r="L6" s="83" t="s">
        <v>2194</v>
      </c>
      <c r="M6" s="61" t="s">
        <v>2193</v>
      </c>
      <c r="N6" s="60" t="s">
        <v>2767</v>
      </c>
      <c r="O6" s="22" t="s">
        <v>3184</v>
      </c>
      <c r="P6" s="2"/>
    </row>
    <row r="7" spans="1:16" ht="27.75" customHeight="1">
      <c r="A7" s="2"/>
      <c r="B7" s="2"/>
      <c r="C7" s="2"/>
      <c r="D7" s="2"/>
      <c r="E7" s="150" t="s">
        <v>4618</v>
      </c>
      <c r="F7" s="15" t="s">
        <v>3537</v>
      </c>
      <c r="G7" s="22" t="s">
        <v>2530</v>
      </c>
      <c r="H7" s="22" t="s">
        <v>2530</v>
      </c>
      <c r="I7" s="22" t="s">
        <v>2530</v>
      </c>
      <c r="J7" s="22" t="s">
        <v>2530</v>
      </c>
      <c r="K7" s="22" t="s">
        <v>2227</v>
      </c>
      <c r="L7" s="84" t="s">
        <v>2211</v>
      </c>
      <c r="M7" s="61" t="s">
        <v>2196</v>
      </c>
      <c r="N7" s="65" t="s">
        <v>2804</v>
      </c>
      <c r="O7" s="22" t="s">
        <v>3281</v>
      </c>
      <c r="P7" s="2"/>
    </row>
    <row r="8" spans="1:16" ht="27.75" customHeight="1">
      <c r="A8" s="2"/>
      <c r="B8" s="2"/>
      <c r="C8" s="2"/>
      <c r="D8" s="2"/>
      <c r="E8" s="7"/>
      <c r="F8" s="15" t="s">
        <v>4873</v>
      </c>
      <c r="G8" s="15" t="s">
        <v>3285</v>
      </c>
      <c r="H8" s="15" t="s">
        <v>2733</v>
      </c>
      <c r="I8" s="60" t="s">
        <v>2529</v>
      </c>
      <c r="J8" s="60" t="s">
        <v>2529</v>
      </c>
      <c r="K8" s="22" t="s">
        <v>2244</v>
      </c>
      <c r="L8" s="84" t="s">
        <v>2212</v>
      </c>
      <c r="M8" s="54" t="s">
        <v>2258</v>
      </c>
      <c r="N8" s="22" t="s">
        <v>2806</v>
      </c>
      <c r="O8" s="39" t="s">
        <v>3632</v>
      </c>
      <c r="P8" s="2"/>
    </row>
    <row r="9" spans="1:16" ht="27.75" customHeight="1">
      <c r="A9" s="2"/>
      <c r="B9" s="2"/>
      <c r="C9" s="2"/>
      <c r="D9" s="2"/>
      <c r="E9" s="7"/>
      <c r="F9" s="7"/>
      <c r="G9" s="15" t="s">
        <v>3537</v>
      </c>
      <c r="H9" s="22" t="s">
        <v>3917</v>
      </c>
      <c r="I9" s="15" t="s">
        <v>3284</v>
      </c>
      <c r="J9" s="15" t="s">
        <v>3286</v>
      </c>
      <c r="K9" s="22" t="s">
        <v>2318</v>
      </c>
      <c r="L9" s="83" t="s">
        <v>2213</v>
      </c>
      <c r="M9" s="22" t="s">
        <v>2299</v>
      </c>
      <c r="N9" s="22" t="s">
        <v>3159</v>
      </c>
      <c r="O9" s="22" t="s">
        <v>3713</v>
      </c>
      <c r="P9" s="2"/>
    </row>
    <row r="10" spans="1:16" ht="27.75" customHeight="1">
      <c r="A10" s="2"/>
      <c r="B10" s="2"/>
      <c r="C10" s="2"/>
      <c r="D10" s="2"/>
      <c r="E10" s="7"/>
      <c r="F10" s="7"/>
      <c r="G10" s="15" t="s">
        <v>4263</v>
      </c>
      <c r="H10" s="22" t="s">
        <v>3755</v>
      </c>
      <c r="I10" s="15" t="s">
        <v>4371</v>
      </c>
      <c r="J10" s="15" t="s">
        <v>3580</v>
      </c>
      <c r="K10" s="22" t="s">
        <v>2369</v>
      </c>
      <c r="L10" s="83" t="s">
        <v>2256</v>
      </c>
      <c r="M10" s="22" t="s">
        <v>2229</v>
      </c>
      <c r="N10" s="22" t="s">
        <v>3210</v>
      </c>
      <c r="O10" s="22" t="s">
        <v>3653</v>
      </c>
      <c r="P10" s="2"/>
    </row>
    <row r="11" spans="1:16" ht="27.75" customHeight="1">
      <c r="A11" s="2"/>
      <c r="B11" s="2"/>
      <c r="C11" s="2"/>
      <c r="D11" s="2"/>
      <c r="E11" s="7"/>
      <c r="F11" s="7"/>
      <c r="G11" s="15" t="s">
        <v>4410</v>
      </c>
      <c r="H11" s="22" t="s">
        <v>4392</v>
      </c>
      <c r="I11" s="15" t="s">
        <v>4410</v>
      </c>
      <c r="J11" s="151" t="s">
        <v>4411</v>
      </c>
      <c r="K11" s="22" t="s">
        <v>2531</v>
      </c>
      <c r="L11" s="83" t="s">
        <v>2257</v>
      </c>
      <c r="M11" s="54" t="s">
        <v>2319</v>
      </c>
      <c r="N11" s="22" t="s">
        <v>3305</v>
      </c>
      <c r="O11" s="96" t="s">
        <v>3723</v>
      </c>
      <c r="P11" s="2"/>
    </row>
    <row r="12" spans="1:16" ht="27.75" customHeight="1">
      <c r="A12" s="2"/>
      <c r="B12" s="2"/>
      <c r="C12" s="2"/>
      <c r="D12" s="2"/>
      <c r="E12" s="7"/>
      <c r="F12" s="7"/>
      <c r="G12" s="7"/>
      <c r="H12" s="15" t="s">
        <v>4410</v>
      </c>
      <c r="I12" s="7"/>
      <c r="J12" s="22" t="s">
        <v>4741</v>
      </c>
      <c r="K12" s="22" t="s">
        <v>2805</v>
      </c>
      <c r="L12" s="83" t="s">
        <v>2383</v>
      </c>
      <c r="M12" s="22" t="s">
        <v>2489</v>
      </c>
      <c r="N12" s="22" t="s">
        <v>3167</v>
      </c>
      <c r="O12" s="54" t="s">
        <v>3724</v>
      </c>
      <c r="P12" s="2"/>
    </row>
    <row r="13" spans="1:16" ht="27.75" customHeight="1">
      <c r="A13" s="2"/>
      <c r="B13" s="2"/>
      <c r="C13" s="2"/>
      <c r="D13" s="2"/>
      <c r="E13" s="7"/>
      <c r="F13" s="7"/>
      <c r="G13" s="7"/>
      <c r="H13" s="7"/>
      <c r="I13" s="7"/>
      <c r="J13" s="24" t="s">
        <v>4739</v>
      </c>
      <c r="K13" s="39" t="s">
        <v>3280</v>
      </c>
      <c r="L13" s="83" t="s">
        <v>2432</v>
      </c>
      <c r="M13" s="60" t="s">
        <v>2398</v>
      </c>
      <c r="N13" s="39" t="s">
        <v>3430</v>
      </c>
      <c r="O13" s="22" t="s">
        <v>3921</v>
      </c>
      <c r="P13" s="2"/>
    </row>
    <row r="14" spans="1:16" ht="27.75" customHeight="1">
      <c r="A14" s="2"/>
      <c r="B14" s="17" t="s">
        <v>4934</v>
      </c>
      <c r="C14" s="17" t="s">
        <v>4934</v>
      </c>
      <c r="D14" s="17" t="s">
        <v>4934</v>
      </c>
      <c r="E14" s="7" t="s">
        <v>4935</v>
      </c>
      <c r="F14" s="7" t="s">
        <v>4935</v>
      </c>
      <c r="G14" s="7" t="s">
        <v>4935</v>
      </c>
      <c r="H14" s="7" t="s">
        <v>4935</v>
      </c>
      <c r="I14" s="7" t="s">
        <v>4935</v>
      </c>
      <c r="J14" s="7"/>
      <c r="K14" s="22" t="s">
        <v>3283</v>
      </c>
      <c r="L14" s="83" t="s">
        <v>2370</v>
      </c>
      <c r="M14" s="22" t="s">
        <v>2735</v>
      </c>
      <c r="N14" s="39" t="s">
        <v>3898</v>
      </c>
      <c r="O14" s="83" t="s">
        <v>4262</v>
      </c>
      <c r="P14" s="2"/>
    </row>
    <row r="15" spans="1:16" ht="27.75" customHeight="1">
      <c r="A15" s="2"/>
      <c r="B15" s="2"/>
      <c r="C15" s="2"/>
      <c r="D15" s="2"/>
      <c r="E15" s="7"/>
      <c r="F15" s="7"/>
      <c r="G15" s="7"/>
      <c r="H15" s="7"/>
      <c r="I15" s="7"/>
      <c r="J15" s="7"/>
      <c r="K15" s="22" t="s">
        <v>3378</v>
      </c>
      <c r="L15" s="83" t="s">
        <v>2532</v>
      </c>
      <c r="M15" s="65" t="s">
        <v>2773</v>
      </c>
      <c r="N15" s="7"/>
      <c r="O15" s="96" t="s">
        <v>4412</v>
      </c>
      <c r="P15" s="2"/>
    </row>
    <row r="16" spans="1:16" ht="27.75" customHeight="1">
      <c r="A16" s="2"/>
      <c r="B16" s="20"/>
      <c r="C16" s="2"/>
      <c r="D16" s="2"/>
      <c r="E16" s="7"/>
      <c r="F16" s="7"/>
      <c r="G16" s="7"/>
      <c r="H16" s="7"/>
      <c r="I16" s="7"/>
      <c r="J16" s="2"/>
      <c r="K16" s="60" t="s">
        <v>3398</v>
      </c>
      <c r="L16" s="83" t="s">
        <v>2734</v>
      </c>
      <c r="M16" s="22" t="s">
        <v>3158</v>
      </c>
      <c r="O16" s="96" t="s">
        <v>4546</v>
      </c>
      <c r="P16" s="20"/>
    </row>
    <row r="17" spans="1:16" ht="27.75" customHeight="1">
      <c r="A17" s="2"/>
      <c r="B17" s="7"/>
      <c r="C17" s="2"/>
      <c r="D17" s="2"/>
      <c r="E17" s="7"/>
      <c r="F17" s="7"/>
      <c r="G17" s="7"/>
      <c r="H17" s="7"/>
      <c r="I17" s="7"/>
      <c r="J17" s="7"/>
      <c r="K17" s="22" t="s">
        <v>3397</v>
      </c>
      <c r="L17" s="83" t="s">
        <v>2737</v>
      </c>
      <c r="M17" s="22" t="s">
        <v>3023</v>
      </c>
      <c r="N17" s="7"/>
      <c r="O17" s="96" t="s">
        <v>4872</v>
      </c>
      <c r="P17" s="3"/>
    </row>
    <row r="18" spans="1:16" ht="27.75" customHeight="1">
      <c r="A18" s="2"/>
      <c r="B18" s="2"/>
      <c r="C18" s="2"/>
      <c r="D18" s="2"/>
      <c r="E18" s="7"/>
      <c r="F18" s="7"/>
      <c r="G18" s="7"/>
      <c r="H18" s="7"/>
      <c r="I18" s="147"/>
      <c r="J18" s="7"/>
      <c r="K18" s="60" t="s">
        <v>3582</v>
      </c>
      <c r="L18" s="83" t="s">
        <v>2805</v>
      </c>
      <c r="M18" s="39" t="s">
        <v>3185</v>
      </c>
      <c r="N18" s="2"/>
      <c r="O18" s="96" t="s">
        <v>5017</v>
      </c>
      <c r="P18" s="2"/>
    </row>
    <row r="19" spans="1:16" ht="27.75" customHeight="1">
      <c r="A19" s="2"/>
      <c r="B19" s="2"/>
      <c r="C19" s="2"/>
      <c r="D19" s="20"/>
      <c r="E19" s="2"/>
      <c r="F19" s="7"/>
      <c r="G19" s="7"/>
      <c r="H19" s="20"/>
      <c r="I19" s="7"/>
      <c r="J19" s="7"/>
      <c r="K19" s="60" t="s">
        <v>3630</v>
      </c>
      <c r="L19" s="83" t="s">
        <v>2988</v>
      </c>
      <c r="M19" s="39" t="s">
        <v>3898</v>
      </c>
      <c r="N19" s="7"/>
      <c r="O19" s="7"/>
      <c r="P19" s="2"/>
    </row>
    <row r="20" spans="1:16" ht="27.75" customHeight="1">
      <c r="A20" s="2"/>
      <c r="B20" s="2"/>
      <c r="C20" s="2"/>
      <c r="D20" s="20"/>
      <c r="E20" s="2"/>
      <c r="F20" s="7"/>
      <c r="G20" s="7"/>
      <c r="H20" s="7"/>
      <c r="I20" s="7"/>
      <c r="J20" s="7"/>
      <c r="K20" s="22" t="s">
        <v>3733</v>
      </c>
      <c r="L20" s="22" t="s">
        <v>3046</v>
      </c>
      <c r="M20" s="20" t="s">
        <v>4948</v>
      </c>
      <c r="N20" s="2"/>
      <c r="O20" s="20"/>
      <c r="P20" s="2"/>
    </row>
    <row r="21" spans="1:16" ht="27.75" customHeight="1">
      <c r="A21" s="2"/>
      <c r="B21" s="2"/>
      <c r="C21" s="2"/>
      <c r="D21" s="20"/>
      <c r="E21" s="2"/>
      <c r="F21" s="7"/>
      <c r="G21" s="7"/>
      <c r="H21" s="20"/>
      <c r="I21" s="7"/>
      <c r="J21" s="7"/>
      <c r="K21" s="96" t="s">
        <v>3736</v>
      </c>
      <c r="L21" s="22" t="s">
        <v>3282</v>
      </c>
      <c r="M21" s="2"/>
      <c r="N21" s="2"/>
      <c r="O21" s="2"/>
      <c r="P21" s="7" t="s">
        <v>5016</v>
      </c>
    </row>
    <row r="22" spans="1:16" ht="27.75" customHeight="1">
      <c r="A22" s="2"/>
      <c r="B22" s="2"/>
      <c r="C22" s="2"/>
      <c r="D22" s="2"/>
      <c r="E22" s="7"/>
      <c r="F22" s="7"/>
      <c r="G22" s="7"/>
      <c r="H22" s="20"/>
      <c r="I22" s="7"/>
      <c r="J22" s="7"/>
      <c r="K22" s="22" t="s">
        <v>3737</v>
      </c>
      <c r="L22" s="22" t="s">
        <v>3130</v>
      </c>
      <c r="M22" s="20"/>
      <c r="N22" s="7"/>
      <c r="O22" s="7"/>
      <c r="P22" s="2"/>
    </row>
    <row r="23" spans="1:16" ht="27.75" customHeight="1">
      <c r="A23" s="2"/>
      <c r="B23" s="2"/>
      <c r="C23" s="2"/>
      <c r="D23" s="2"/>
      <c r="E23" s="7"/>
      <c r="F23" s="7"/>
      <c r="G23" s="7"/>
      <c r="H23" s="7"/>
      <c r="I23" s="7"/>
      <c r="J23" s="2" t="s">
        <v>5016</v>
      </c>
      <c r="K23" s="22" t="s">
        <v>3919</v>
      </c>
      <c r="L23" s="22" t="s">
        <v>3143</v>
      </c>
      <c r="M23" s="7"/>
      <c r="N23" s="7"/>
      <c r="O23" s="7"/>
      <c r="P23" s="2"/>
    </row>
    <row r="24" spans="1:16" ht="27.75" customHeight="1">
      <c r="A24" s="2"/>
      <c r="B24" s="2"/>
      <c r="C24" s="2"/>
      <c r="D24" s="2"/>
      <c r="E24" s="7"/>
      <c r="F24" s="7"/>
      <c r="G24" s="7"/>
      <c r="H24" s="7"/>
      <c r="I24" s="7"/>
      <c r="J24" s="7"/>
      <c r="K24" s="96" t="s">
        <v>4143</v>
      </c>
      <c r="L24" s="83" t="s">
        <v>3314</v>
      </c>
      <c r="M24" s="17"/>
      <c r="N24" s="20"/>
      <c r="O24" s="7"/>
      <c r="P24" s="2"/>
    </row>
    <row r="25" spans="1:16" ht="27.75" customHeight="1">
      <c r="A25" s="2"/>
      <c r="B25" s="2"/>
      <c r="C25" s="2"/>
      <c r="D25" s="2"/>
      <c r="E25" s="7"/>
      <c r="F25" s="7"/>
      <c r="G25" s="7"/>
      <c r="H25" s="7"/>
      <c r="I25" s="7"/>
      <c r="J25" s="7"/>
      <c r="K25" s="96" t="s">
        <v>4141</v>
      </c>
      <c r="L25" s="54" t="s">
        <v>3377</v>
      </c>
      <c r="M25" s="20"/>
      <c r="N25" s="20"/>
      <c r="O25" s="7"/>
      <c r="P25" s="2"/>
    </row>
    <row r="26" spans="1:16" ht="27.75" customHeight="1">
      <c r="A26" s="2"/>
      <c r="B26" s="2"/>
      <c r="C26" s="2"/>
      <c r="D26" s="2"/>
      <c r="E26" s="7"/>
      <c r="F26" s="7"/>
      <c r="G26" s="7"/>
      <c r="H26" s="7"/>
      <c r="I26" s="7"/>
      <c r="J26" s="7"/>
      <c r="K26" s="96" t="s">
        <v>3986</v>
      </c>
      <c r="L26" s="83" t="s">
        <v>3279</v>
      </c>
      <c r="M26" s="2"/>
      <c r="N26" s="85"/>
      <c r="O26" s="7"/>
      <c r="P26" s="2"/>
    </row>
    <row r="27" spans="1:16" ht="27.75" customHeight="1">
      <c r="A27" s="2"/>
      <c r="B27" s="2"/>
      <c r="C27" s="2"/>
      <c r="D27" s="2"/>
      <c r="E27" s="7"/>
      <c r="F27" s="7"/>
      <c r="G27" s="7"/>
      <c r="H27" s="7"/>
      <c r="I27" s="7"/>
      <c r="J27" s="7"/>
      <c r="K27" s="96" t="s">
        <v>4261</v>
      </c>
      <c r="L27" s="83" t="s">
        <v>3581</v>
      </c>
      <c r="M27" s="17"/>
      <c r="N27" s="7"/>
      <c r="O27" s="2"/>
      <c r="P27" s="2"/>
    </row>
    <row r="28" spans="1:16" ht="27.75" customHeight="1">
      <c r="A28" s="2"/>
      <c r="B28" s="2"/>
      <c r="C28" s="2"/>
      <c r="D28" s="2"/>
      <c r="E28" s="7"/>
      <c r="F28" s="7"/>
      <c r="G28" s="7"/>
      <c r="H28" s="7"/>
      <c r="I28" s="7"/>
      <c r="J28" s="7"/>
      <c r="K28" s="96" t="s">
        <v>4348</v>
      </c>
      <c r="L28" s="83" t="s">
        <v>3631</v>
      </c>
      <c r="M28" s="2"/>
      <c r="N28" s="2"/>
      <c r="O28" s="7"/>
      <c r="P28" s="2"/>
    </row>
    <row r="29" spans="1:16" ht="27.75" customHeight="1">
      <c r="A29" s="2"/>
      <c r="B29" s="2"/>
      <c r="C29" s="2"/>
      <c r="D29" s="2"/>
      <c r="E29" s="7"/>
      <c r="F29" s="7"/>
      <c r="G29" s="3" t="s">
        <v>4332</v>
      </c>
      <c r="H29" s="20"/>
      <c r="I29" s="3"/>
      <c r="J29" s="3"/>
      <c r="K29" s="96" t="s">
        <v>4347</v>
      </c>
      <c r="L29" s="83" t="s">
        <v>3633</v>
      </c>
      <c r="M29" s="2"/>
      <c r="N29" s="2"/>
      <c r="O29" s="85"/>
      <c r="P29" s="2"/>
    </row>
    <row r="30" spans="1:16" ht="27.75" customHeight="1">
      <c r="A30" s="2"/>
      <c r="B30" s="2"/>
      <c r="C30" s="2"/>
      <c r="D30" s="2"/>
      <c r="E30" s="7"/>
      <c r="F30" s="7"/>
      <c r="G30" s="7"/>
      <c r="H30" s="7"/>
      <c r="I30" s="36"/>
      <c r="J30" s="7"/>
      <c r="K30" s="96" t="s">
        <v>4388</v>
      </c>
      <c r="L30" s="22" t="s">
        <v>3645</v>
      </c>
      <c r="M30" s="2"/>
      <c r="N30" s="2"/>
      <c r="O30" s="20"/>
      <c r="P30" s="2"/>
    </row>
    <row r="31" spans="1:16" ht="27.75" customHeight="1">
      <c r="A31" s="2"/>
      <c r="B31" s="2"/>
      <c r="C31" s="2"/>
      <c r="D31" s="2"/>
      <c r="E31" s="7"/>
      <c r="F31" s="7"/>
      <c r="G31" s="7"/>
      <c r="H31" s="7"/>
      <c r="I31" s="7"/>
      <c r="J31" s="7"/>
      <c r="K31" s="96" t="s">
        <v>4318</v>
      </c>
      <c r="L31" s="22" t="s">
        <v>3670</v>
      </c>
      <c r="M31" s="2"/>
      <c r="N31" s="2"/>
      <c r="O31" s="20"/>
      <c r="P31" s="2"/>
    </row>
    <row r="32" spans="1:16" ht="27.75" customHeight="1">
      <c r="A32" s="2"/>
      <c r="B32" s="2"/>
      <c r="C32" s="2"/>
      <c r="D32" s="2"/>
      <c r="E32" s="7"/>
      <c r="F32" s="7"/>
      <c r="G32" s="7"/>
      <c r="H32" s="7"/>
      <c r="I32" s="7"/>
      <c r="J32" s="7"/>
      <c r="K32" s="96" t="s">
        <v>4413</v>
      </c>
      <c r="L32" s="22" t="s">
        <v>3734</v>
      </c>
      <c r="M32" s="2"/>
      <c r="N32" s="2"/>
      <c r="O32" s="20"/>
      <c r="P32" s="2"/>
    </row>
    <row r="33" spans="1:16" ht="27.75" customHeight="1">
      <c r="A33" s="2"/>
      <c r="B33" s="2"/>
      <c r="C33" s="2"/>
      <c r="D33" s="2"/>
      <c r="E33" s="7"/>
      <c r="F33" s="7"/>
      <c r="G33" s="7"/>
      <c r="H33" s="7"/>
      <c r="I33" s="7"/>
      <c r="J33" s="7"/>
      <c r="K33" s="96" t="s">
        <v>4779</v>
      </c>
      <c r="L33" s="22" t="s">
        <v>3735</v>
      </c>
      <c r="M33" s="2"/>
      <c r="N33" s="2"/>
      <c r="O33" s="20"/>
      <c r="P33" s="2"/>
    </row>
    <row r="34" spans="1:16" ht="27.75" customHeight="1">
      <c r="A34" s="2"/>
      <c r="B34" s="2"/>
      <c r="C34" s="2"/>
      <c r="D34" s="2"/>
      <c r="E34" s="7"/>
      <c r="F34" s="7"/>
      <c r="G34" s="7"/>
      <c r="H34" s="7"/>
      <c r="I34" s="7"/>
      <c r="J34" s="7"/>
      <c r="K34" s="96" t="s">
        <v>5018</v>
      </c>
      <c r="L34" s="22" t="s">
        <v>3741</v>
      </c>
      <c r="M34" s="2"/>
      <c r="N34" s="2"/>
      <c r="O34" s="20"/>
      <c r="P34" s="2"/>
    </row>
    <row r="35" spans="1:16" ht="27.75" customHeight="1">
      <c r="A35" s="2"/>
      <c r="B35" s="2"/>
      <c r="C35" s="2"/>
      <c r="D35" s="2"/>
      <c r="E35" s="7"/>
      <c r="F35" s="7"/>
      <c r="G35" s="7"/>
      <c r="H35" s="7"/>
      <c r="I35" s="7"/>
      <c r="J35" s="7"/>
      <c r="K35" s="7"/>
      <c r="L35" s="83" t="s">
        <v>3738</v>
      </c>
      <c r="M35" s="2"/>
      <c r="N35" s="2"/>
      <c r="O35" s="20"/>
      <c r="P35" s="2"/>
    </row>
    <row r="36" spans="1:16" ht="27.75" customHeight="1">
      <c r="A36" s="2"/>
      <c r="B36" s="2"/>
      <c r="C36" s="2"/>
      <c r="D36" s="2"/>
      <c r="E36" s="7"/>
      <c r="F36" s="7"/>
      <c r="G36" s="7"/>
      <c r="H36" s="7"/>
      <c r="I36" s="7"/>
      <c r="J36" s="7"/>
      <c r="K36" s="7"/>
      <c r="L36" s="22" t="s">
        <v>3739</v>
      </c>
      <c r="M36" s="2"/>
      <c r="N36" s="2"/>
      <c r="O36" s="20"/>
      <c r="P36" s="2"/>
    </row>
    <row r="37" spans="1:16" ht="27.75" customHeight="1">
      <c r="A37" s="2"/>
      <c r="B37" s="2"/>
      <c r="C37" s="2"/>
      <c r="D37" s="2"/>
      <c r="E37" s="7"/>
      <c r="F37" s="7"/>
      <c r="G37" s="7"/>
      <c r="H37" s="7"/>
      <c r="I37" s="7"/>
      <c r="J37" s="7"/>
      <c r="K37" s="7"/>
      <c r="L37" s="22" t="s">
        <v>3768</v>
      </c>
      <c r="M37" s="2"/>
      <c r="N37" s="2"/>
      <c r="O37" s="2"/>
      <c r="P37" s="2"/>
    </row>
    <row r="38" spans="1:16" ht="27.75" customHeight="1">
      <c r="A38" s="2"/>
      <c r="B38" s="2"/>
      <c r="C38" s="2"/>
      <c r="D38" s="2"/>
      <c r="E38" s="7"/>
      <c r="F38" s="7"/>
      <c r="G38" s="7"/>
      <c r="H38" s="7"/>
      <c r="I38" s="7"/>
      <c r="J38" s="7"/>
      <c r="K38" s="20"/>
      <c r="L38" s="22" t="s">
        <v>3920</v>
      </c>
      <c r="M38" s="2"/>
      <c r="N38" s="2"/>
      <c r="O38" s="2"/>
      <c r="P38" s="2"/>
    </row>
    <row r="39" spans="1:16" ht="27.75" customHeight="1">
      <c r="A39" s="2"/>
      <c r="B39" s="2"/>
      <c r="C39" s="2"/>
      <c r="D39" s="2"/>
      <c r="E39" s="7"/>
      <c r="F39" s="7"/>
      <c r="G39" s="7"/>
      <c r="H39" s="7"/>
      <c r="I39" s="7"/>
      <c r="J39" s="7"/>
      <c r="K39" s="142"/>
      <c r="L39" s="22" t="s">
        <v>3784</v>
      </c>
      <c r="M39" s="17"/>
      <c r="N39" s="2"/>
      <c r="O39" s="2"/>
      <c r="P39" s="2"/>
    </row>
    <row r="40" spans="1:16" ht="27.75" customHeight="1">
      <c r="A40" s="2"/>
      <c r="B40" s="2"/>
      <c r="C40" s="2"/>
      <c r="D40" s="2"/>
      <c r="E40" s="7"/>
      <c r="F40" s="7"/>
      <c r="G40" s="7"/>
      <c r="H40" s="7"/>
      <c r="I40" s="7"/>
      <c r="J40" s="7"/>
      <c r="K40" s="20"/>
      <c r="L40" s="22" t="s">
        <v>3922</v>
      </c>
      <c r="M40" s="20"/>
      <c r="N40" s="2"/>
      <c r="O40" s="2"/>
      <c r="P40" s="2"/>
    </row>
    <row r="41" spans="1:16" ht="27.75" customHeight="1">
      <c r="A41" s="2"/>
      <c r="B41" s="2"/>
      <c r="C41" s="2"/>
      <c r="D41" s="2"/>
      <c r="E41" s="7"/>
      <c r="F41" s="7"/>
      <c r="G41" s="7"/>
      <c r="H41" s="7"/>
      <c r="I41" s="7"/>
      <c r="J41" s="7"/>
      <c r="K41" s="20"/>
      <c r="L41" s="54" t="s">
        <v>3989</v>
      </c>
      <c r="M41" s="20"/>
      <c r="N41" s="2"/>
      <c r="O41" s="2"/>
      <c r="P41" s="2"/>
    </row>
    <row r="42" spans="1:16" ht="27.75" customHeight="1">
      <c r="A42" s="2"/>
      <c r="B42" s="2"/>
      <c r="C42" s="2"/>
      <c r="D42" s="2"/>
      <c r="E42" s="7"/>
      <c r="F42" s="7"/>
      <c r="G42" s="7"/>
      <c r="H42" s="7"/>
      <c r="I42" s="7"/>
      <c r="J42" s="7"/>
      <c r="K42" s="20"/>
      <c r="L42" s="22" t="s">
        <v>3980</v>
      </c>
      <c r="M42" s="2"/>
      <c r="N42" s="2"/>
      <c r="O42" s="2"/>
      <c r="P42" s="2"/>
    </row>
    <row r="43" spans="1:16" ht="27.75" customHeight="1">
      <c r="A43" s="2"/>
      <c r="B43" s="2"/>
      <c r="C43" s="2"/>
      <c r="D43" s="2"/>
      <c r="E43" s="7"/>
      <c r="F43" s="7"/>
      <c r="G43" s="7"/>
      <c r="H43" s="7"/>
      <c r="I43" s="7"/>
      <c r="J43" s="7"/>
      <c r="K43" s="20"/>
      <c r="L43" s="83" t="s">
        <v>3988</v>
      </c>
      <c r="M43" s="2"/>
      <c r="N43" s="2"/>
      <c r="O43" s="2"/>
      <c r="P43" s="2"/>
    </row>
    <row r="44" spans="1:16" ht="27.75" customHeight="1">
      <c r="A44" s="2"/>
      <c r="B44" s="2"/>
      <c r="C44" s="2"/>
      <c r="D44" s="2"/>
      <c r="E44" s="7"/>
      <c r="F44" s="7"/>
      <c r="G44" s="7"/>
      <c r="H44" s="7"/>
      <c r="I44" s="7"/>
      <c r="J44" s="7"/>
      <c r="K44" s="20"/>
      <c r="L44" s="54" t="s">
        <v>4142</v>
      </c>
      <c r="M44" s="2"/>
      <c r="N44" s="2"/>
      <c r="O44" s="2"/>
      <c r="P44" s="2"/>
    </row>
    <row r="45" spans="1:16" ht="27.75" customHeight="1">
      <c r="A45" s="2"/>
      <c r="B45" s="2"/>
      <c r="C45" s="2"/>
      <c r="D45" s="2"/>
      <c r="E45" s="7"/>
      <c r="F45" s="7"/>
      <c r="G45" s="7"/>
      <c r="H45" s="7"/>
      <c r="I45" s="7"/>
      <c r="J45" s="7"/>
      <c r="K45" s="20"/>
      <c r="L45" s="39" t="s">
        <v>4617</v>
      </c>
      <c r="M45" s="2"/>
      <c r="N45" s="2"/>
      <c r="O45" s="2"/>
      <c r="P45" s="2"/>
    </row>
    <row r="46" spans="1:16" ht="27.75" customHeight="1">
      <c r="A46" s="2"/>
      <c r="B46" s="2"/>
      <c r="C46" s="2"/>
      <c r="D46" s="2"/>
      <c r="E46" s="7"/>
      <c r="F46" s="7"/>
      <c r="G46" s="7"/>
      <c r="H46" s="7"/>
      <c r="I46" s="7"/>
      <c r="J46" s="7"/>
      <c r="K46" s="20"/>
      <c r="L46" s="96" t="s">
        <v>4778</v>
      </c>
      <c r="M46" s="2"/>
      <c r="N46" s="2"/>
      <c r="O46" s="2"/>
      <c r="P46" s="2"/>
    </row>
    <row r="47" spans="1:16" ht="27.75" customHeight="1">
      <c r="A47" s="2"/>
      <c r="B47" s="2"/>
      <c r="C47" s="2"/>
      <c r="D47" s="2"/>
      <c r="E47" s="7"/>
      <c r="F47" s="7"/>
      <c r="G47" s="7"/>
      <c r="H47" s="7"/>
      <c r="I47" s="7"/>
      <c r="J47" s="7"/>
      <c r="K47" s="7"/>
      <c r="L47" s="96" t="s">
        <v>4931</v>
      </c>
      <c r="M47" s="2"/>
      <c r="N47" s="2"/>
      <c r="O47" s="2"/>
      <c r="P47" s="2"/>
    </row>
    <row r="48" spans="1:16" ht="27.75" customHeight="1">
      <c r="A48" s="2"/>
      <c r="B48" s="2"/>
      <c r="C48" s="2"/>
      <c r="D48" s="2"/>
      <c r="E48" s="7"/>
      <c r="F48" s="7"/>
      <c r="G48" s="7"/>
      <c r="H48" s="7"/>
      <c r="I48" s="7"/>
      <c r="J48" s="7"/>
      <c r="K48" s="20"/>
      <c r="L48" s="96" t="s">
        <v>5009</v>
      </c>
      <c r="M48" s="2"/>
      <c r="N48" s="2"/>
      <c r="O48" s="2"/>
      <c r="P48" s="2"/>
    </row>
    <row r="49" spans="1:16" ht="27.75" customHeight="1">
      <c r="A49" s="2"/>
      <c r="B49" s="2"/>
      <c r="C49" s="2"/>
      <c r="D49" s="2"/>
      <c r="E49" s="7"/>
      <c r="F49" s="7"/>
      <c r="G49" s="7"/>
      <c r="H49" s="7"/>
      <c r="I49" s="7"/>
      <c r="J49" s="7"/>
      <c r="K49" s="7"/>
      <c r="L49" s="85"/>
      <c r="M49" s="2"/>
      <c r="N49" s="2"/>
      <c r="O49" s="2"/>
      <c r="P49" s="2"/>
    </row>
    <row r="50" spans="1:16" ht="27.75" customHeight="1">
      <c r="A50" s="2"/>
      <c r="B50" s="2"/>
      <c r="C50" s="2"/>
      <c r="D50" s="2"/>
      <c r="E50" s="7"/>
      <c r="F50" s="7"/>
      <c r="G50" s="7"/>
      <c r="H50" s="7"/>
      <c r="I50" s="7"/>
      <c r="J50" s="7"/>
      <c r="K50" s="7"/>
      <c r="L50" s="7"/>
      <c r="M50" s="2"/>
      <c r="N50" s="2"/>
      <c r="O50" s="2"/>
      <c r="P50" s="2"/>
    </row>
    <row r="51" spans="1:16" ht="27.75" customHeight="1">
      <c r="A51" s="2"/>
      <c r="B51" s="2"/>
      <c r="C51" s="2"/>
      <c r="D51" s="2"/>
      <c r="E51" s="7"/>
      <c r="F51" s="7"/>
      <c r="G51" s="7"/>
      <c r="H51" s="7"/>
      <c r="I51" s="7"/>
      <c r="J51" s="7"/>
      <c r="K51" s="7"/>
      <c r="L51" s="85"/>
      <c r="M51" s="2"/>
      <c r="N51" s="2"/>
      <c r="O51" s="2"/>
      <c r="P51" s="2"/>
    </row>
    <row r="52" spans="1:16" ht="27.75" customHeight="1">
      <c r="A52" s="2"/>
      <c r="B52" s="2"/>
      <c r="C52" s="2"/>
      <c r="D52" s="2"/>
      <c r="E52" s="7"/>
      <c r="F52" s="7"/>
      <c r="G52" s="7"/>
      <c r="H52" s="7"/>
      <c r="I52" s="7"/>
      <c r="J52" s="7"/>
      <c r="K52" s="20"/>
      <c r="L52" s="20"/>
      <c r="M52" s="20"/>
      <c r="N52" s="20"/>
      <c r="O52" s="2"/>
      <c r="P52" s="2"/>
    </row>
    <row r="53" spans="1:16" ht="27.75" customHeight="1">
      <c r="A53" s="2"/>
      <c r="B53" s="2"/>
      <c r="C53" s="2"/>
      <c r="D53" s="2"/>
      <c r="E53" s="7"/>
      <c r="F53" s="7"/>
      <c r="G53" s="7"/>
      <c r="H53" s="7"/>
      <c r="I53" s="7"/>
      <c r="J53" s="7"/>
      <c r="K53" s="7"/>
      <c r="L53" s="20"/>
      <c r="M53" s="20" t="s">
        <v>5046</v>
      </c>
      <c r="N53" s="20" t="s">
        <v>5019</v>
      </c>
      <c r="O53" s="20" t="s">
        <v>5044</v>
      </c>
      <c r="P53" s="2"/>
    </row>
    <row r="54" spans="1:16" ht="27.75" customHeight="1">
      <c r="A54" s="2"/>
      <c r="B54" s="2"/>
      <c r="C54" s="2"/>
      <c r="D54" s="2"/>
      <c r="E54" s="7"/>
      <c r="F54" s="7"/>
      <c r="G54" s="7"/>
      <c r="H54" s="7"/>
      <c r="I54" s="7"/>
      <c r="J54" s="7"/>
      <c r="K54" s="7"/>
      <c r="L54" s="85"/>
      <c r="M54" s="2"/>
      <c r="N54" s="20" t="s">
        <v>5063</v>
      </c>
      <c r="O54" s="2"/>
      <c r="P54" s="2"/>
    </row>
    <row r="55" spans="1:16" ht="27.75" customHeight="1">
      <c r="A55" s="2"/>
      <c r="B55" s="2"/>
      <c r="C55" s="2"/>
      <c r="D55" s="2"/>
      <c r="E55" s="7"/>
      <c r="F55" s="7"/>
      <c r="G55" s="7"/>
      <c r="H55" s="7"/>
      <c r="I55" s="7"/>
      <c r="J55" s="7"/>
      <c r="K55" s="7"/>
      <c r="L55" s="85"/>
      <c r="M55" s="2"/>
      <c r="N55" s="2"/>
      <c r="O55" s="2"/>
      <c r="P55" s="2"/>
    </row>
    <row r="56" spans="1:16" ht="27.75" customHeight="1">
      <c r="A56" s="2"/>
      <c r="B56" s="2"/>
      <c r="C56" s="2"/>
      <c r="D56" s="2"/>
      <c r="E56" s="7"/>
      <c r="F56" s="7"/>
      <c r="G56" s="7"/>
      <c r="H56" s="7"/>
      <c r="I56" s="7"/>
      <c r="J56" s="7"/>
      <c r="K56" s="20" t="s">
        <v>5047</v>
      </c>
      <c r="L56" s="20" t="s">
        <v>5045</v>
      </c>
      <c r="M56" s="2"/>
      <c r="N56" s="2"/>
      <c r="O56" s="2"/>
      <c r="P56" s="2"/>
    </row>
    <row r="57" spans="1:16" ht="27.75" customHeight="1">
      <c r="A57" s="2"/>
      <c r="B57" s="2"/>
      <c r="C57" s="2"/>
      <c r="D57" s="2"/>
      <c r="E57" s="7"/>
      <c r="F57" s="7"/>
      <c r="G57" s="7"/>
      <c r="H57" s="7"/>
      <c r="I57" s="7"/>
      <c r="J57" s="7"/>
      <c r="K57" s="20" t="s">
        <v>5135</v>
      </c>
      <c r="L57" s="85"/>
      <c r="M57" s="2"/>
      <c r="N57" s="2"/>
      <c r="O57" s="2"/>
      <c r="P57" s="2"/>
    </row>
    <row r="58" spans="1:16" ht="27.75" customHeight="1">
      <c r="A58" s="2"/>
      <c r="B58" s="2"/>
      <c r="C58" s="2"/>
      <c r="D58" s="2"/>
      <c r="E58" s="7"/>
      <c r="F58" s="7"/>
      <c r="G58" s="7"/>
      <c r="H58" s="7"/>
      <c r="I58" s="7"/>
      <c r="J58" s="7"/>
      <c r="K58" s="7"/>
      <c r="L58" s="85"/>
      <c r="M58" s="2"/>
      <c r="N58" s="2"/>
      <c r="O58" s="2"/>
      <c r="P58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topLeftCell="E1" zoomScale="70" zoomScaleNormal="70" workbookViewId="0">
      <selection activeCell="I24" sqref="I24"/>
    </sheetView>
  </sheetViews>
  <sheetFormatPr defaultColWidth="9" defaultRowHeight="15"/>
  <cols>
    <col min="1" max="4" width="19.42578125" style="1" customWidth="1"/>
    <col min="5" max="5" width="22.7109375" style="1" bestFit="1" customWidth="1"/>
    <col min="6" max="6" width="44.7109375" style="6" bestFit="1" customWidth="1"/>
    <col min="7" max="8" width="36" style="6" bestFit="1" customWidth="1"/>
    <col min="9" max="9" width="48.85546875" style="6" bestFit="1" customWidth="1"/>
    <col min="10" max="11" width="40.140625" style="6" bestFit="1" customWidth="1"/>
    <col min="12" max="12" width="37.42578125" style="6" customWidth="1"/>
    <col min="13" max="13" width="34.85546875" style="6" customWidth="1"/>
    <col min="14" max="14" width="36" style="229" bestFit="1" customWidth="1"/>
    <col min="15" max="16384" width="9" style="1"/>
  </cols>
  <sheetData>
    <row r="1" spans="1:14" ht="21.75" customHeight="1"/>
    <row r="2" spans="1:14" ht="27.75" customHeight="1">
      <c r="A2" s="7" t="s">
        <v>2388</v>
      </c>
      <c r="B2" s="7" t="s">
        <v>2388</v>
      </c>
      <c r="C2" s="7" t="s">
        <v>2388</v>
      </c>
      <c r="D2" s="7" t="s">
        <v>2388</v>
      </c>
      <c r="E2" s="7" t="s">
        <v>2388</v>
      </c>
      <c r="F2" s="7" t="s">
        <v>2388</v>
      </c>
      <c r="G2" s="7" t="s">
        <v>7868</v>
      </c>
      <c r="H2" s="7" t="s">
        <v>2388</v>
      </c>
      <c r="I2" s="93" t="s">
        <v>2389</v>
      </c>
      <c r="J2" s="93" t="s">
        <v>2389</v>
      </c>
      <c r="K2" s="93" t="s">
        <v>2389</v>
      </c>
      <c r="L2" s="93" t="s">
        <v>2389</v>
      </c>
      <c r="M2" s="93" t="s">
        <v>2389</v>
      </c>
      <c r="N2" s="7" t="s">
        <v>2388</v>
      </c>
    </row>
    <row r="3" spans="1:14" ht="41.25" customHeight="1">
      <c r="A3" s="100" t="s">
        <v>3289</v>
      </c>
      <c r="B3" s="100" t="s">
        <v>3187</v>
      </c>
      <c r="C3" s="100" t="s">
        <v>3181</v>
      </c>
      <c r="D3" s="100" t="s">
        <v>3119</v>
      </c>
      <c r="E3" s="100" t="s">
        <v>2148</v>
      </c>
      <c r="F3" s="100" t="s">
        <v>2147</v>
      </c>
      <c r="G3" s="100" t="s">
        <v>2146</v>
      </c>
      <c r="H3" s="100" t="s">
        <v>2072</v>
      </c>
      <c r="I3" s="64" t="s">
        <v>2073</v>
      </c>
      <c r="J3" s="64" t="s">
        <v>2074</v>
      </c>
      <c r="K3" s="64" t="s">
        <v>2075</v>
      </c>
      <c r="L3" s="64" t="s">
        <v>2076</v>
      </c>
      <c r="M3" s="64" t="s">
        <v>2077</v>
      </c>
      <c r="N3" s="100" t="s">
        <v>3822</v>
      </c>
    </row>
    <row r="4" spans="1:14" ht="27.75" customHeight="1">
      <c r="A4" s="15" t="s">
        <v>4361</v>
      </c>
      <c r="B4" s="15" t="s">
        <v>3128</v>
      </c>
      <c r="C4" s="15" t="s">
        <v>3128</v>
      </c>
      <c r="D4" s="15" t="s">
        <v>3416</v>
      </c>
      <c r="E4" s="15" t="s">
        <v>3416</v>
      </c>
      <c r="F4" s="15" t="s">
        <v>3416</v>
      </c>
      <c r="G4" s="22" t="s">
        <v>2390</v>
      </c>
      <c r="H4" s="22" t="s">
        <v>2390</v>
      </c>
      <c r="I4" s="22" t="s">
        <v>2652</v>
      </c>
      <c r="J4" s="22" t="s">
        <v>2807</v>
      </c>
      <c r="K4" s="22" t="s">
        <v>2651</v>
      </c>
      <c r="L4" s="22" t="s">
        <v>3287</v>
      </c>
      <c r="M4" s="22" t="s">
        <v>3308</v>
      </c>
      <c r="N4" s="22"/>
    </row>
    <row r="5" spans="1:14" ht="27.75" customHeight="1">
      <c r="A5" s="15" t="s">
        <v>3788</v>
      </c>
      <c r="B5" s="15" t="s">
        <v>3359</v>
      </c>
      <c r="C5" s="15" t="s">
        <v>3359</v>
      </c>
      <c r="D5" s="15" t="s">
        <v>3417</v>
      </c>
      <c r="E5" s="15" t="s">
        <v>3417</v>
      </c>
      <c r="F5" s="15" t="s">
        <v>3417</v>
      </c>
      <c r="G5" s="15" t="s">
        <v>3416</v>
      </c>
      <c r="H5" s="15" t="s">
        <v>3128</v>
      </c>
      <c r="I5" s="22" t="s">
        <v>3182</v>
      </c>
      <c r="J5" s="15" t="s">
        <v>3668</v>
      </c>
      <c r="K5" s="22" t="s">
        <v>3188</v>
      </c>
      <c r="L5" s="22" t="s">
        <v>3307</v>
      </c>
      <c r="M5" s="15" t="s">
        <v>3805</v>
      </c>
      <c r="N5" s="15"/>
    </row>
    <row r="6" spans="1:14" ht="27.75" customHeight="1">
      <c r="A6" s="15" t="s">
        <v>5089</v>
      </c>
      <c r="B6" s="15" t="s">
        <v>3788</v>
      </c>
      <c r="C6" s="15" t="s">
        <v>3788</v>
      </c>
      <c r="D6" s="15" t="s">
        <v>3788</v>
      </c>
      <c r="E6" s="22" t="s">
        <v>3482</v>
      </c>
      <c r="F6" s="15" t="s">
        <v>3836</v>
      </c>
      <c r="G6" s="22" t="s">
        <v>3916</v>
      </c>
      <c r="H6" s="22" t="s">
        <v>3481</v>
      </c>
      <c r="I6" s="22" t="s">
        <v>3183</v>
      </c>
      <c r="J6" s="22" t="s">
        <v>3654</v>
      </c>
      <c r="K6" s="22" t="s">
        <v>3288</v>
      </c>
      <c r="L6" s="22" t="s">
        <v>3339</v>
      </c>
      <c r="M6" s="22" t="s">
        <v>4530</v>
      </c>
      <c r="N6" s="22"/>
    </row>
    <row r="7" spans="1:14" ht="27.75" customHeight="1">
      <c r="A7" s="2"/>
      <c r="B7" s="15" t="s">
        <v>5089</v>
      </c>
      <c r="C7" s="15" t="s">
        <v>5089</v>
      </c>
      <c r="D7" s="15" t="s">
        <v>5089</v>
      </c>
      <c r="E7" s="15" t="s">
        <v>3788</v>
      </c>
      <c r="F7" s="22" t="s">
        <v>4595</v>
      </c>
      <c r="G7" s="22" t="s">
        <v>4426</v>
      </c>
      <c r="H7" s="22" t="s">
        <v>3575</v>
      </c>
      <c r="I7" s="15" t="s">
        <v>3480</v>
      </c>
      <c r="J7" s="22" t="s">
        <v>3716</v>
      </c>
      <c r="K7" s="22" t="s">
        <v>3242</v>
      </c>
      <c r="L7" s="22" t="s">
        <v>3393</v>
      </c>
      <c r="M7" s="151" t="s">
        <v>4807</v>
      </c>
      <c r="N7" s="22"/>
    </row>
    <row r="8" spans="1:14" ht="27.75" customHeight="1">
      <c r="A8" s="2"/>
      <c r="B8" s="2"/>
      <c r="C8" s="2"/>
      <c r="D8" s="2"/>
      <c r="E8" s="15" t="s">
        <v>5089</v>
      </c>
      <c r="F8" s="22" t="s">
        <v>5015</v>
      </c>
      <c r="G8" s="15" t="s">
        <v>4428</v>
      </c>
      <c r="H8" s="15" t="s">
        <v>4362</v>
      </c>
      <c r="I8" s="23" t="s">
        <v>3502</v>
      </c>
      <c r="J8" s="22" t="s">
        <v>3742</v>
      </c>
      <c r="K8" s="15" t="s">
        <v>3652</v>
      </c>
      <c r="L8" s="22" t="s">
        <v>3429</v>
      </c>
      <c r="M8" s="108" t="s">
        <v>4823</v>
      </c>
      <c r="N8" s="15"/>
    </row>
    <row r="9" spans="1:14" ht="27.75" customHeight="1">
      <c r="A9" s="2"/>
      <c r="B9" s="2"/>
      <c r="C9" s="2"/>
      <c r="D9" s="2"/>
      <c r="E9" s="2"/>
      <c r="F9" s="7"/>
      <c r="G9" s="15" t="s">
        <v>5089</v>
      </c>
      <c r="H9" s="15" t="s">
        <v>4428</v>
      </c>
      <c r="I9" s="23" t="s">
        <v>3574</v>
      </c>
      <c r="J9" s="24" t="s">
        <v>3853</v>
      </c>
      <c r="K9" s="22" t="s">
        <v>3803</v>
      </c>
      <c r="L9" s="22" t="s">
        <v>3483</v>
      </c>
      <c r="M9" s="22" t="s">
        <v>5071</v>
      </c>
      <c r="N9" s="15"/>
    </row>
    <row r="10" spans="1:14" ht="27.75" customHeight="1">
      <c r="A10" s="7"/>
      <c r="B10" s="7"/>
      <c r="C10" s="7"/>
      <c r="D10" s="7"/>
      <c r="E10" s="7"/>
      <c r="F10" s="7"/>
      <c r="G10" s="7"/>
      <c r="H10" s="15" t="s">
        <v>5089</v>
      </c>
      <c r="I10" s="22" t="s">
        <v>3573</v>
      </c>
      <c r="J10" s="96" t="s">
        <v>4427</v>
      </c>
      <c r="K10" s="22" t="s">
        <v>3696</v>
      </c>
      <c r="L10" s="22" t="s">
        <v>3485</v>
      </c>
      <c r="M10" s="7"/>
      <c r="N10" s="15"/>
    </row>
    <row r="11" spans="1:14" ht="27.75" customHeight="1">
      <c r="A11" s="2"/>
      <c r="B11" s="2"/>
      <c r="C11" s="2"/>
      <c r="D11" s="2"/>
      <c r="E11" s="2"/>
      <c r="F11" s="7"/>
      <c r="G11" s="7"/>
      <c r="H11" s="7"/>
      <c r="I11" s="22" t="s">
        <v>3612</v>
      </c>
      <c r="J11" s="22" t="s">
        <v>4527</v>
      </c>
      <c r="K11" s="22" t="s">
        <v>3854</v>
      </c>
      <c r="L11" s="22" t="s">
        <v>3576</v>
      </c>
      <c r="M11" s="7"/>
      <c r="N11" s="7"/>
    </row>
    <row r="12" spans="1:14" ht="27.75" customHeight="1">
      <c r="A12" s="7"/>
      <c r="B12" s="2"/>
      <c r="C12" s="2"/>
      <c r="D12" s="2"/>
      <c r="E12" s="2"/>
      <c r="F12" s="7"/>
      <c r="G12" s="7"/>
      <c r="H12" s="7"/>
      <c r="I12" s="22" t="s">
        <v>3613</v>
      </c>
      <c r="J12" s="22" t="s">
        <v>4529</v>
      </c>
      <c r="K12" s="22" t="s">
        <v>4209</v>
      </c>
      <c r="L12" s="22" t="s">
        <v>3486</v>
      </c>
      <c r="M12" s="20"/>
      <c r="N12" s="7"/>
    </row>
    <row r="13" spans="1:14" ht="27.75" customHeight="1">
      <c r="A13" s="2"/>
      <c r="B13" s="2"/>
      <c r="C13" s="2"/>
      <c r="D13" s="2"/>
      <c r="E13" s="2"/>
      <c r="F13" s="7"/>
      <c r="G13" s="7"/>
      <c r="H13" s="7"/>
      <c r="I13" s="22" t="s">
        <v>3767</v>
      </c>
      <c r="J13" s="22" t="s">
        <v>4594</v>
      </c>
      <c r="K13" s="22" t="s">
        <v>4210</v>
      </c>
      <c r="L13" s="22" t="s">
        <v>3650</v>
      </c>
      <c r="M13" s="7"/>
      <c r="N13" s="7"/>
    </row>
    <row r="14" spans="1:14" ht="27.75" customHeight="1">
      <c r="A14" s="2"/>
      <c r="B14" s="2"/>
      <c r="C14" s="2"/>
      <c r="D14" s="2"/>
      <c r="E14" s="7"/>
      <c r="F14" s="7"/>
      <c r="G14" s="7"/>
      <c r="H14" s="7"/>
      <c r="I14" s="15" t="s">
        <v>3787</v>
      </c>
      <c r="J14" s="24" t="s">
        <v>4663</v>
      </c>
      <c r="K14" s="22" t="s">
        <v>4158</v>
      </c>
      <c r="L14" s="22" t="s">
        <v>3611</v>
      </c>
      <c r="M14" s="7"/>
      <c r="N14" s="7"/>
    </row>
    <row r="15" spans="1:14" ht="27.75" customHeight="1">
      <c r="A15" s="2"/>
      <c r="B15" s="2"/>
      <c r="C15" s="2"/>
      <c r="D15" s="2"/>
      <c r="E15" s="2"/>
      <c r="F15" s="7"/>
      <c r="G15" s="7"/>
      <c r="H15" s="7"/>
      <c r="I15" s="22" t="s">
        <v>4528</v>
      </c>
      <c r="J15" s="22" t="s">
        <v>5086</v>
      </c>
      <c r="K15" s="22" t="s">
        <v>4593</v>
      </c>
      <c r="L15" s="22" t="s">
        <v>3616</v>
      </c>
      <c r="M15" s="7"/>
      <c r="N15" s="7"/>
    </row>
    <row r="16" spans="1:14" ht="27.75" customHeight="1">
      <c r="A16" s="2"/>
      <c r="B16" s="2"/>
      <c r="C16" s="2"/>
      <c r="D16" s="2"/>
      <c r="E16" s="2"/>
      <c r="F16" s="7"/>
      <c r="G16" s="7"/>
      <c r="H16" s="7"/>
      <c r="I16" s="108" t="s">
        <v>4707</v>
      </c>
      <c r="J16" s="7"/>
      <c r="K16" s="148" t="s">
        <v>4706</v>
      </c>
      <c r="L16" s="22" t="s">
        <v>3804</v>
      </c>
      <c r="M16" s="7"/>
      <c r="N16" s="7"/>
    </row>
    <row r="17" spans="1:14" ht="27.75" customHeight="1">
      <c r="A17" s="2"/>
      <c r="B17" s="2"/>
      <c r="C17" s="2"/>
      <c r="D17" s="2"/>
      <c r="E17" s="2"/>
      <c r="F17" s="7"/>
      <c r="G17" s="7"/>
      <c r="H17" s="7"/>
      <c r="I17" s="108" t="s">
        <v>4839</v>
      </c>
      <c r="J17" s="7"/>
      <c r="K17" s="108" t="s">
        <v>4823</v>
      </c>
      <c r="L17" s="22" t="s">
        <v>4593</v>
      </c>
      <c r="M17" s="7"/>
      <c r="N17" s="7"/>
    </row>
    <row r="18" spans="1:14" ht="27.75" customHeight="1">
      <c r="A18" s="2"/>
      <c r="B18" s="2"/>
      <c r="C18" s="2"/>
      <c r="D18" s="2"/>
      <c r="E18" s="2"/>
      <c r="F18" s="7"/>
      <c r="G18" s="7"/>
      <c r="H18" s="7"/>
      <c r="I18" s="108" t="s">
        <v>4829</v>
      </c>
      <c r="J18" s="3" t="s">
        <v>5087</v>
      </c>
      <c r="K18" s="3"/>
      <c r="L18" s="151" t="s">
        <v>4807</v>
      </c>
      <c r="M18" s="7"/>
      <c r="N18" s="7"/>
    </row>
    <row r="19" spans="1:14" ht="27.75" customHeight="1">
      <c r="A19" s="2"/>
      <c r="B19" s="2"/>
      <c r="C19" s="2"/>
      <c r="D19" s="2"/>
      <c r="E19" s="2"/>
      <c r="F19" s="7"/>
      <c r="G19" s="7"/>
      <c r="H19" s="7"/>
      <c r="I19" s="108" t="s">
        <v>4830</v>
      </c>
      <c r="J19" s="20"/>
      <c r="K19" s="20"/>
      <c r="L19" s="24" t="s">
        <v>4808</v>
      </c>
      <c r="M19" s="20"/>
      <c r="N19" s="7"/>
    </row>
    <row r="20" spans="1:14" ht="27.75" customHeight="1">
      <c r="A20" s="2"/>
      <c r="B20" s="2"/>
      <c r="C20" s="2"/>
      <c r="D20" s="2"/>
      <c r="E20" s="2"/>
      <c r="F20" s="7"/>
      <c r="G20" s="7"/>
      <c r="H20" s="7"/>
      <c r="I20" s="108" t="s">
        <v>5084</v>
      </c>
      <c r="J20" s="7"/>
      <c r="K20" s="144"/>
      <c r="L20" s="22" t="s">
        <v>5085</v>
      </c>
      <c r="M20" s="20"/>
      <c r="N20" s="7"/>
    </row>
    <row r="21" spans="1:14" ht="27.75" customHeight="1">
      <c r="A21" s="2"/>
      <c r="B21" s="2"/>
      <c r="C21" s="2"/>
      <c r="D21" s="2"/>
      <c r="E21" s="2"/>
      <c r="F21" s="7"/>
      <c r="G21" s="7"/>
      <c r="H21" s="7"/>
      <c r="I21" s="7"/>
      <c r="J21" s="7"/>
      <c r="K21" s="7"/>
      <c r="L21" s="7"/>
      <c r="M21" s="20"/>
      <c r="N21" s="7"/>
    </row>
    <row r="22" spans="1:14" ht="27.75" customHeight="1">
      <c r="A22" s="2"/>
      <c r="B22" s="2"/>
      <c r="C22" s="2"/>
      <c r="D22" s="2"/>
      <c r="E22" s="2"/>
      <c r="F22" s="7"/>
      <c r="G22" s="7" t="s">
        <v>5088</v>
      </c>
      <c r="H22" s="7" t="s">
        <v>5088</v>
      </c>
      <c r="I22" s="7"/>
      <c r="J22" s="7"/>
      <c r="K22" s="7"/>
      <c r="L22" s="7"/>
      <c r="M22" s="20"/>
      <c r="N22" s="7"/>
    </row>
    <row r="23" spans="1:14" ht="27.75" customHeight="1">
      <c r="A23" s="2"/>
      <c r="B23" s="2"/>
      <c r="C23" s="2"/>
      <c r="D23" s="2"/>
      <c r="E23" s="2"/>
      <c r="F23" s="36"/>
      <c r="G23" s="7"/>
      <c r="H23" s="7"/>
      <c r="I23" s="7"/>
      <c r="J23" s="90"/>
      <c r="K23" s="7"/>
      <c r="L23" s="7"/>
      <c r="M23" s="90"/>
      <c r="N23" s="7"/>
    </row>
    <row r="24" spans="1:14" ht="27.75" customHeight="1">
      <c r="A24" s="2"/>
      <c r="B24" s="2"/>
      <c r="C24" s="2"/>
      <c r="D24" s="2"/>
      <c r="E24" s="2"/>
      <c r="F24" s="30"/>
      <c r="G24" s="7"/>
      <c r="H24" s="7"/>
      <c r="I24" s="7"/>
      <c r="J24" s="7"/>
      <c r="K24" s="7"/>
      <c r="L24" s="7"/>
      <c r="M24" s="90"/>
      <c r="N24" s="7"/>
    </row>
    <row r="25" spans="1:14" ht="27.75" customHeight="1">
      <c r="A25" s="2"/>
      <c r="B25" s="2"/>
      <c r="C25" s="2"/>
      <c r="D25" s="2"/>
      <c r="E25" s="2"/>
      <c r="F25" s="7"/>
      <c r="G25" s="7"/>
      <c r="H25" s="7"/>
      <c r="I25" s="36"/>
      <c r="J25" s="90"/>
      <c r="K25" s="36"/>
      <c r="L25" s="3"/>
      <c r="M25" s="90"/>
      <c r="N25" s="7"/>
    </row>
    <row r="26" spans="1:14" ht="27.75" customHeight="1">
      <c r="A26" s="2"/>
      <c r="B26" s="2"/>
      <c r="C26" s="2"/>
      <c r="D26" s="2"/>
      <c r="E26" s="2"/>
      <c r="F26" s="7"/>
      <c r="G26" s="7"/>
      <c r="H26" s="7"/>
      <c r="I26" s="90"/>
      <c r="J26" s="90"/>
      <c r="K26" s="90"/>
      <c r="L26" s="90"/>
      <c r="M26" s="90"/>
      <c r="N26" s="7"/>
    </row>
    <row r="27" spans="1:14" ht="27.75" customHeight="1">
      <c r="A27" s="2"/>
      <c r="B27" s="2"/>
      <c r="C27" s="2"/>
      <c r="D27" s="2"/>
      <c r="E27" s="2"/>
      <c r="F27" s="7"/>
      <c r="G27" s="7"/>
      <c r="H27" s="7"/>
      <c r="I27" s="20"/>
      <c r="J27" s="20"/>
      <c r="K27" s="7"/>
      <c r="L27" s="7"/>
      <c r="M27" s="20"/>
      <c r="N27" s="7"/>
    </row>
    <row r="28" spans="1:14" ht="27.75" customHeight="1">
      <c r="A28" s="2"/>
      <c r="B28" s="2"/>
      <c r="C28" s="2"/>
      <c r="D28" s="2"/>
      <c r="E28" s="2"/>
      <c r="F28" s="7"/>
      <c r="G28" s="7"/>
      <c r="H28" s="7"/>
      <c r="I28" s="90"/>
      <c r="J28" s="90"/>
      <c r="K28" s="20"/>
      <c r="L28" s="7"/>
      <c r="M28" s="20"/>
      <c r="N28" s="7"/>
    </row>
    <row r="29" spans="1:14" ht="27.75" customHeight="1">
      <c r="A29" s="2"/>
      <c r="B29" s="2"/>
      <c r="C29" s="2"/>
      <c r="D29" s="2"/>
      <c r="E29" s="2"/>
      <c r="F29" s="7"/>
      <c r="G29" s="7"/>
      <c r="H29" s="7"/>
      <c r="I29" s="90"/>
      <c r="J29" s="7"/>
      <c r="K29" s="7"/>
      <c r="L29" s="7"/>
      <c r="M29" s="20"/>
      <c r="N29" s="7"/>
    </row>
    <row r="30" spans="1:14" ht="27.75" customHeight="1">
      <c r="A30" s="2"/>
      <c r="B30" s="2"/>
      <c r="C30" s="2"/>
      <c r="D30" s="2"/>
      <c r="E30" s="2"/>
      <c r="F30" s="7"/>
      <c r="G30" s="7"/>
      <c r="H30" s="7"/>
      <c r="I30" s="90"/>
      <c r="J30" s="3"/>
      <c r="K30" s="7"/>
      <c r="L30" s="7"/>
      <c r="M30" s="20"/>
      <c r="N30" s="7"/>
    </row>
    <row r="31" spans="1:14" ht="27.75" customHeight="1">
      <c r="A31" s="2"/>
      <c r="B31" s="2"/>
      <c r="C31" s="2"/>
      <c r="D31" s="2"/>
      <c r="E31" s="2"/>
      <c r="F31" s="7"/>
      <c r="G31" s="7"/>
      <c r="H31" s="7"/>
      <c r="I31" s="7"/>
      <c r="J31" s="7"/>
      <c r="K31" s="7" t="s">
        <v>5083</v>
      </c>
      <c r="L31" s="7" t="s">
        <v>5049</v>
      </c>
      <c r="M31" s="20"/>
      <c r="N31" s="7"/>
    </row>
    <row r="32" spans="1:14" ht="27.75" customHeight="1">
      <c r="A32" s="2"/>
      <c r="B32" s="2"/>
      <c r="C32" s="2"/>
      <c r="D32" s="2"/>
      <c r="E32" s="2"/>
      <c r="F32" s="7"/>
      <c r="G32" s="7"/>
      <c r="H32" s="7"/>
      <c r="I32" s="7"/>
      <c r="J32" s="7"/>
      <c r="K32" s="7"/>
      <c r="L32" s="7" t="s">
        <v>5064</v>
      </c>
      <c r="M32" s="20"/>
      <c r="N32" s="7"/>
    </row>
    <row r="33" spans="1:14" ht="27.75" customHeight="1">
      <c r="A33" s="2"/>
      <c r="B33" s="2"/>
      <c r="C33" s="2"/>
      <c r="D33" s="2"/>
      <c r="E33" s="2"/>
      <c r="F33" s="7"/>
      <c r="G33" s="7"/>
      <c r="H33" s="7"/>
      <c r="I33" s="7"/>
      <c r="J33" s="7"/>
      <c r="K33" s="7"/>
      <c r="L33" s="7" t="s">
        <v>5065</v>
      </c>
      <c r="M33" s="20"/>
      <c r="N33" s="7"/>
    </row>
    <row r="34" spans="1:14" ht="27.75" customHeight="1">
      <c r="A34" s="2"/>
      <c r="B34" s="2"/>
      <c r="C34" s="2"/>
      <c r="D34" s="2"/>
      <c r="E34" s="2"/>
      <c r="F34" s="7"/>
      <c r="G34" s="7"/>
      <c r="H34" s="7"/>
      <c r="I34" s="7"/>
      <c r="J34" s="7"/>
      <c r="K34" s="7"/>
      <c r="L34" s="7"/>
      <c r="M34" s="20"/>
      <c r="N34" s="7"/>
    </row>
    <row r="35" spans="1:14" ht="27.75" customHeight="1">
      <c r="A35" s="2"/>
      <c r="B35" s="2"/>
      <c r="C35" s="2"/>
      <c r="D35" s="2"/>
      <c r="E35" s="2"/>
      <c r="F35" s="7"/>
      <c r="G35" s="7"/>
      <c r="H35" s="7"/>
      <c r="I35" s="7"/>
      <c r="J35" s="7"/>
      <c r="K35" s="7"/>
      <c r="L35" s="7"/>
      <c r="M35" s="20"/>
      <c r="N35" s="7"/>
    </row>
    <row r="36" spans="1:14" ht="27.75" customHeight="1">
      <c r="A36" s="2"/>
      <c r="B36" s="2"/>
      <c r="C36" s="2"/>
      <c r="D36" s="2"/>
      <c r="E36" s="2"/>
      <c r="F36" s="7"/>
      <c r="G36" s="7"/>
      <c r="H36" s="7"/>
      <c r="I36" s="7"/>
      <c r="J36" s="7"/>
      <c r="K36" s="7"/>
      <c r="L36" s="7"/>
      <c r="M36" s="20"/>
      <c r="N36" s="7"/>
    </row>
    <row r="37" spans="1:14" ht="27.75" customHeight="1">
      <c r="A37" s="2"/>
      <c r="B37" s="2"/>
      <c r="C37" s="2"/>
      <c r="D37" s="2"/>
      <c r="E37" s="2"/>
      <c r="F37" s="7"/>
      <c r="G37" s="7"/>
      <c r="H37" s="7"/>
      <c r="I37" s="7"/>
      <c r="J37" s="7"/>
      <c r="K37" s="7"/>
      <c r="L37" s="7"/>
      <c r="M37" s="20"/>
      <c r="N37" s="7"/>
    </row>
    <row r="38" spans="1:14" ht="27.75" customHeight="1">
      <c r="A38" s="2"/>
      <c r="B38" s="2"/>
      <c r="C38" s="2"/>
      <c r="D38" s="2"/>
      <c r="E38" s="2"/>
      <c r="F38" s="7"/>
      <c r="G38" s="7"/>
      <c r="H38" s="7"/>
      <c r="I38" s="7"/>
      <c r="J38" s="7"/>
      <c r="K38" s="7"/>
      <c r="L38" s="7"/>
      <c r="M38" s="20"/>
      <c r="N38" s="7"/>
    </row>
    <row r="39" spans="1:14" ht="27.75" customHeight="1">
      <c r="A39" s="2"/>
      <c r="B39" s="2"/>
      <c r="C39" s="2"/>
      <c r="D39" s="2"/>
      <c r="E39" s="2"/>
      <c r="F39" s="7"/>
      <c r="G39" s="7"/>
      <c r="H39" s="7"/>
      <c r="I39" s="7"/>
      <c r="J39" s="7"/>
      <c r="K39" s="7"/>
      <c r="L39" s="7"/>
      <c r="M39" s="20"/>
      <c r="N39" s="7"/>
    </row>
    <row r="40" spans="1:14" ht="27.75" customHeight="1">
      <c r="A40" s="2"/>
      <c r="B40" s="2"/>
      <c r="C40" s="2"/>
      <c r="D40" s="2"/>
      <c r="E40" s="2"/>
      <c r="F40" s="7"/>
      <c r="G40" s="7"/>
      <c r="H40" s="7"/>
      <c r="I40" s="7"/>
      <c r="J40" s="7"/>
      <c r="K40" s="7"/>
      <c r="L40" s="7"/>
      <c r="M40" s="20"/>
      <c r="N40" s="7"/>
    </row>
    <row r="41" spans="1:14" ht="27.75" customHeight="1">
      <c r="A41" s="2"/>
      <c r="B41" s="2"/>
      <c r="C41" s="2"/>
      <c r="D41" s="2"/>
      <c r="E41" s="2"/>
      <c r="F41" s="7"/>
      <c r="G41" s="7"/>
      <c r="H41" s="7"/>
      <c r="I41" s="7"/>
      <c r="J41" s="7"/>
      <c r="K41" s="7"/>
      <c r="L41" s="7"/>
      <c r="M41" s="20"/>
      <c r="N41" s="7"/>
    </row>
    <row r="42" spans="1:14" ht="27.75" customHeight="1">
      <c r="A42" s="2"/>
      <c r="B42" s="2"/>
      <c r="C42" s="2"/>
      <c r="D42" s="2"/>
      <c r="E42" s="2"/>
      <c r="F42" s="7"/>
      <c r="G42" s="7"/>
      <c r="H42" s="7"/>
      <c r="I42" s="7"/>
      <c r="J42" s="7"/>
      <c r="K42" s="7"/>
      <c r="L42" s="7"/>
      <c r="M42" s="20"/>
      <c r="N42" s="7"/>
    </row>
    <row r="43" spans="1:14" ht="27.75" customHeight="1">
      <c r="A43" s="2"/>
      <c r="B43" s="2"/>
      <c r="C43" s="2"/>
      <c r="D43" s="2"/>
      <c r="E43" s="2"/>
      <c r="F43" s="7"/>
      <c r="G43" s="7"/>
      <c r="H43" s="7"/>
      <c r="I43" s="7"/>
      <c r="J43" s="7"/>
      <c r="K43" s="7"/>
      <c r="L43" s="7"/>
      <c r="M43" s="20"/>
      <c r="N43" s="7"/>
    </row>
    <row r="44" spans="1:14" ht="27.75" customHeight="1">
      <c r="A44" s="2"/>
      <c r="B44" s="2"/>
      <c r="C44" s="2"/>
      <c r="D44" s="2"/>
      <c r="E44" s="2"/>
      <c r="F44" s="7"/>
      <c r="G44" s="7"/>
      <c r="H44" s="7"/>
      <c r="I44" s="7"/>
      <c r="J44" s="7"/>
      <c r="K44" s="7"/>
      <c r="L44" s="7"/>
      <c r="M44" s="20"/>
      <c r="N44" s="7"/>
    </row>
    <row r="45" spans="1:14" ht="27.75" customHeight="1">
      <c r="A45" s="2"/>
      <c r="B45" s="2"/>
      <c r="C45" s="2"/>
      <c r="D45" s="2"/>
      <c r="E45" s="2"/>
      <c r="F45" s="7"/>
      <c r="G45" s="7"/>
      <c r="H45" s="7"/>
      <c r="I45" s="7"/>
      <c r="J45" s="7"/>
      <c r="K45" s="7"/>
      <c r="L45" s="7"/>
      <c r="M45" s="20"/>
      <c r="N45" s="7"/>
    </row>
    <row r="46" spans="1:14" ht="27.75" customHeight="1">
      <c r="A46" s="2"/>
      <c r="B46" s="2"/>
      <c r="C46" s="2"/>
      <c r="D46" s="2"/>
      <c r="E46" s="2"/>
      <c r="F46" s="7"/>
      <c r="G46" s="7"/>
      <c r="H46" s="7"/>
      <c r="I46" s="7"/>
      <c r="J46" s="7"/>
      <c r="K46" s="7"/>
      <c r="L46" s="7"/>
      <c r="M46" s="20"/>
      <c r="N46" s="7"/>
    </row>
    <row r="47" spans="1:14" ht="27.75" customHeight="1">
      <c r="A47" s="2"/>
      <c r="B47" s="2"/>
      <c r="C47" s="2"/>
      <c r="D47" s="2"/>
      <c r="E47" s="2"/>
      <c r="F47" s="7"/>
      <c r="G47" s="7"/>
      <c r="H47" s="7"/>
      <c r="I47" s="7"/>
      <c r="J47" s="7"/>
      <c r="K47" s="7"/>
      <c r="L47" s="7"/>
      <c r="M47" s="20"/>
      <c r="N47" s="7"/>
    </row>
  </sheetData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opLeftCell="E1" zoomScale="70" zoomScaleNormal="70" workbookViewId="0">
      <selection activeCell="J11" sqref="J11"/>
    </sheetView>
  </sheetViews>
  <sheetFormatPr defaultColWidth="9" defaultRowHeight="15"/>
  <cols>
    <col min="1" max="4" width="19.42578125" style="1" customWidth="1"/>
    <col min="5" max="5" width="22.7109375" style="1" bestFit="1" customWidth="1"/>
    <col min="6" max="6" width="44.7109375" style="299" bestFit="1" customWidth="1"/>
    <col min="7" max="8" width="36" style="299" bestFit="1" customWidth="1"/>
    <col min="9" max="9" width="48.85546875" style="299" bestFit="1" customWidth="1"/>
    <col min="10" max="11" width="40.140625" style="299" bestFit="1" customWidth="1"/>
    <col min="12" max="12" width="37.42578125" style="299" customWidth="1"/>
    <col min="13" max="13" width="34.85546875" style="299" customWidth="1"/>
    <col min="14" max="14" width="36" style="299" bestFit="1" customWidth="1"/>
    <col min="15" max="16384" width="9" style="1"/>
  </cols>
  <sheetData>
    <row r="1" spans="1:14" ht="21.75" customHeight="1"/>
    <row r="2" spans="1:14" ht="27.75" customHeight="1">
      <c r="A2" s="93" t="s">
        <v>2389</v>
      </c>
      <c r="B2" s="93" t="s">
        <v>2389</v>
      </c>
      <c r="C2" s="93" t="s">
        <v>2389</v>
      </c>
      <c r="D2" s="93" t="s">
        <v>2389</v>
      </c>
      <c r="E2" s="93" t="s">
        <v>2389</v>
      </c>
      <c r="F2" s="93" t="s">
        <v>2389</v>
      </c>
      <c r="G2" s="93" t="s">
        <v>2389</v>
      </c>
      <c r="H2" s="93" t="s">
        <v>2389</v>
      </c>
      <c r="I2" s="93" t="s">
        <v>2389</v>
      </c>
      <c r="J2" s="93" t="s">
        <v>2389</v>
      </c>
      <c r="K2" s="93" t="s">
        <v>2389</v>
      </c>
      <c r="L2" s="93" t="s">
        <v>2389</v>
      </c>
      <c r="M2" s="93" t="s">
        <v>2389</v>
      </c>
      <c r="N2" s="7" t="s">
        <v>2388</v>
      </c>
    </row>
    <row r="3" spans="1:14" ht="41.25" customHeight="1">
      <c r="A3" s="64"/>
      <c r="B3" s="64"/>
      <c r="C3" s="64"/>
      <c r="D3" s="64"/>
      <c r="E3" s="64"/>
      <c r="F3" s="64"/>
      <c r="G3" s="64"/>
      <c r="H3" s="307" t="s">
        <v>8147</v>
      </c>
      <c r="I3" s="64" t="s">
        <v>8148</v>
      </c>
      <c r="J3" s="64" t="s">
        <v>8149</v>
      </c>
      <c r="K3" s="64"/>
      <c r="L3" s="64"/>
      <c r="M3" s="64"/>
      <c r="N3" s="64"/>
    </row>
    <row r="4" spans="1:14" ht="27.75" customHeight="1">
      <c r="A4" s="2"/>
      <c r="B4" s="2"/>
      <c r="C4" s="2"/>
      <c r="D4" s="2"/>
      <c r="E4" s="2"/>
      <c r="F4" s="7"/>
      <c r="G4" s="7"/>
      <c r="H4" s="7"/>
      <c r="I4" s="300"/>
      <c r="J4" s="7"/>
      <c r="K4" s="7"/>
      <c r="L4" s="7"/>
      <c r="M4" s="20"/>
      <c r="N4" s="7"/>
    </row>
    <row r="5" spans="1:14" ht="27.75" customHeight="1">
      <c r="A5" s="2"/>
      <c r="B5" s="2"/>
      <c r="C5" s="2"/>
      <c r="D5" s="2"/>
      <c r="E5" s="2"/>
      <c r="F5" s="7"/>
      <c r="G5" s="7"/>
      <c r="H5" s="7"/>
      <c r="I5" s="300"/>
      <c r="J5" s="3"/>
      <c r="K5" s="7"/>
      <c r="L5" s="7"/>
      <c r="M5" s="20"/>
      <c r="N5" s="7"/>
    </row>
    <row r="6" spans="1:14" ht="27.75" customHeight="1">
      <c r="A6" s="2"/>
      <c r="B6" s="2"/>
      <c r="C6" s="2"/>
      <c r="D6" s="2"/>
      <c r="E6" s="2"/>
      <c r="F6" s="7"/>
      <c r="G6" s="7"/>
      <c r="H6" s="7"/>
      <c r="I6" s="7"/>
      <c r="J6" s="7"/>
      <c r="K6" s="7"/>
      <c r="L6" s="7"/>
      <c r="M6" s="20"/>
      <c r="N6" s="7"/>
    </row>
    <row r="7" spans="1:14" ht="27.75" customHeight="1">
      <c r="A7" s="2"/>
      <c r="B7" s="2"/>
      <c r="C7" s="2"/>
      <c r="D7" s="2"/>
      <c r="E7" s="2"/>
      <c r="F7" s="7"/>
      <c r="G7" s="7"/>
      <c r="H7" s="7"/>
      <c r="I7" s="7"/>
      <c r="J7" s="7"/>
      <c r="K7" s="7"/>
      <c r="L7" s="7"/>
      <c r="M7" s="20"/>
      <c r="N7" s="7"/>
    </row>
    <row r="8" spans="1:14" ht="27.75" customHeight="1">
      <c r="A8" s="2"/>
      <c r="B8" s="2"/>
      <c r="C8" s="2"/>
      <c r="D8" s="2"/>
      <c r="E8" s="2"/>
      <c r="F8" s="7"/>
      <c r="G8" s="7"/>
      <c r="H8" s="7"/>
      <c r="I8" s="7"/>
      <c r="J8" s="7"/>
      <c r="K8" s="7"/>
      <c r="L8" s="7"/>
      <c r="M8" s="20"/>
      <c r="N8" s="7"/>
    </row>
    <row r="9" spans="1:14" ht="27.75" customHeight="1">
      <c r="A9" s="2"/>
      <c r="B9" s="2"/>
      <c r="C9" s="2"/>
      <c r="D9" s="2"/>
      <c r="E9" s="2"/>
      <c r="F9" s="7"/>
      <c r="G9" s="7"/>
      <c r="H9" s="7"/>
      <c r="I9" s="7"/>
      <c r="J9" s="7"/>
      <c r="K9" s="7"/>
      <c r="L9" s="7"/>
      <c r="M9" s="20"/>
      <c r="N9" s="7"/>
    </row>
    <row r="10" spans="1:14" ht="27.75" customHeight="1">
      <c r="A10" s="2"/>
      <c r="B10" s="2"/>
      <c r="C10" s="2"/>
      <c r="D10" s="2"/>
      <c r="E10" s="2"/>
      <c r="F10" s="7"/>
      <c r="G10" s="7"/>
      <c r="H10" s="7"/>
      <c r="I10" s="7"/>
      <c r="J10" s="7"/>
      <c r="K10" s="7"/>
      <c r="L10" s="7"/>
      <c r="M10" s="20"/>
      <c r="N10" s="7"/>
    </row>
    <row r="11" spans="1:14" ht="27.75" customHeight="1">
      <c r="A11" s="2"/>
      <c r="B11" s="2"/>
      <c r="C11" s="2"/>
      <c r="D11" s="2"/>
      <c r="E11" s="2"/>
      <c r="F11" s="7"/>
      <c r="G11" s="7"/>
      <c r="H11" s="7"/>
      <c r="I11" s="7"/>
      <c r="J11" s="7"/>
      <c r="K11" s="7"/>
      <c r="L11" s="7"/>
      <c r="M11" s="20"/>
      <c r="N11" s="7"/>
    </row>
    <row r="12" spans="1:14" ht="27.75" customHeight="1">
      <c r="A12" s="2"/>
      <c r="B12" s="2"/>
      <c r="C12" s="2"/>
      <c r="D12" s="2"/>
      <c r="E12" s="2"/>
      <c r="F12" s="7"/>
      <c r="G12" s="7"/>
      <c r="H12" s="7"/>
      <c r="I12" s="7"/>
      <c r="J12" s="7"/>
      <c r="K12" s="7"/>
      <c r="L12" s="7"/>
      <c r="M12" s="20"/>
      <c r="N12" s="7"/>
    </row>
    <row r="13" spans="1:14" ht="27.75" customHeight="1">
      <c r="A13" s="2"/>
      <c r="B13" s="2"/>
      <c r="C13" s="2"/>
      <c r="D13" s="2"/>
      <c r="E13" s="2"/>
      <c r="F13" s="7"/>
      <c r="G13" s="7"/>
      <c r="H13" s="7"/>
      <c r="I13" s="7"/>
      <c r="J13" s="7"/>
      <c r="K13" s="7"/>
      <c r="L13" s="7"/>
      <c r="M13" s="20"/>
      <c r="N13" s="7"/>
    </row>
    <row r="14" spans="1:14" ht="27.75" customHeight="1">
      <c r="A14" s="2"/>
      <c r="B14" s="2"/>
      <c r="C14" s="2"/>
      <c r="D14" s="2"/>
      <c r="E14" s="2"/>
      <c r="F14" s="7"/>
      <c r="G14" s="7"/>
      <c r="H14" s="7"/>
      <c r="I14" s="7"/>
      <c r="J14" s="7"/>
      <c r="K14" s="7"/>
      <c r="L14" s="7"/>
      <c r="M14" s="20"/>
      <c r="N14" s="7"/>
    </row>
    <row r="15" spans="1:14" ht="27.75" customHeight="1">
      <c r="A15" s="2"/>
      <c r="B15" s="2"/>
      <c r="C15" s="2"/>
      <c r="D15" s="2"/>
      <c r="E15" s="2"/>
      <c r="F15" s="7"/>
      <c r="G15" s="7"/>
      <c r="H15" s="7"/>
      <c r="I15" s="7"/>
      <c r="J15" s="7"/>
      <c r="K15" s="7"/>
      <c r="L15" s="7"/>
      <c r="M15" s="20"/>
      <c r="N15" s="7"/>
    </row>
    <row r="16" spans="1:14" ht="27.75" customHeight="1">
      <c r="A16" s="2"/>
      <c r="B16" s="2"/>
      <c r="C16" s="2"/>
      <c r="D16" s="2"/>
      <c r="E16" s="2"/>
      <c r="F16" s="7"/>
      <c r="G16" s="7"/>
      <c r="H16" s="7"/>
      <c r="I16" s="7"/>
      <c r="J16" s="7"/>
      <c r="K16" s="7"/>
      <c r="L16" s="7"/>
      <c r="M16" s="20"/>
      <c r="N16" s="7"/>
    </row>
    <row r="17" spans="1:14" ht="27.75" customHeight="1">
      <c r="A17" s="2"/>
      <c r="B17" s="2"/>
      <c r="C17" s="2"/>
      <c r="D17" s="2"/>
      <c r="E17" s="2"/>
      <c r="F17" s="7"/>
      <c r="G17" s="7"/>
      <c r="H17" s="7"/>
      <c r="I17" s="7"/>
      <c r="J17" s="7"/>
      <c r="K17" s="7"/>
      <c r="L17" s="7"/>
      <c r="M17" s="20"/>
      <c r="N17" s="7"/>
    </row>
    <row r="18" spans="1:14" ht="27.75" customHeight="1">
      <c r="A18" s="2"/>
      <c r="B18" s="2"/>
      <c r="C18" s="2"/>
      <c r="D18" s="2"/>
      <c r="E18" s="2"/>
      <c r="F18" s="7"/>
      <c r="G18" s="7"/>
      <c r="H18" s="7"/>
      <c r="I18" s="7"/>
      <c r="J18" s="7"/>
      <c r="K18" s="7"/>
      <c r="L18" s="7"/>
      <c r="M18" s="20"/>
      <c r="N18" s="7"/>
    </row>
    <row r="19" spans="1:14" ht="27.75" customHeight="1">
      <c r="A19" s="2"/>
      <c r="B19" s="2"/>
      <c r="C19" s="2"/>
      <c r="D19" s="2"/>
      <c r="E19" s="2"/>
      <c r="F19" s="7"/>
      <c r="G19" s="7"/>
      <c r="H19" s="7"/>
      <c r="I19" s="7"/>
      <c r="J19" s="7"/>
      <c r="K19" s="7"/>
      <c r="L19" s="7"/>
      <c r="M19" s="20"/>
      <c r="N19" s="7"/>
    </row>
    <row r="20" spans="1:14" ht="27.75" customHeight="1">
      <c r="A20" s="2"/>
      <c r="B20" s="2"/>
      <c r="C20" s="2"/>
      <c r="D20" s="2"/>
      <c r="E20" s="2"/>
      <c r="F20" s="7"/>
      <c r="G20" s="7"/>
      <c r="H20" s="7"/>
      <c r="I20" s="7"/>
      <c r="J20" s="7"/>
      <c r="K20" s="7"/>
      <c r="L20" s="7"/>
      <c r="M20" s="20"/>
      <c r="N20" s="7"/>
    </row>
    <row r="21" spans="1:14" ht="27.75" customHeight="1">
      <c r="A21" s="2"/>
      <c r="B21" s="2"/>
      <c r="C21" s="2"/>
      <c r="D21" s="2"/>
      <c r="E21" s="2"/>
      <c r="F21" s="7"/>
      <c r="G21" s="7"/>
      <c r="H21" s="7"/>
      <c r="I21" s="7"/>
      <c r="J21" s="7"/>
      <c r="K21" s="7"/>
      <c r="L21" s="7"/>
      <c r="M21" s="20"/>
      <c r="N21" s="7"/>
    </row>
    <row r="22" spans="1:14" ht="27.75" customHeight="1">
      <c r="A22" s="2"/>
      <c r="B22" s="2"/>
      <c r="C22" s="2"/>
      <c r="D22" s="2"/>
      <c r="E22" s="2"/>
      <c r="F22" s="7"/>
      <c r="G22" s="7"/>
      <c r="H22" s="7"/>
      <c r="I22" s="7"/>
      <c r="J22" s="7"/>
      <c r="K22" s="7"/>
      <c r="L22" s="7"/>
      <c r="M22" s="20"/>
      <c r="N22" s="7"/>
    </row>
  </sheetData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zoomScale="70" zoomScaleNormal="70" workbookViewId="0">
      <selection activeCell="I9" sqref="I9"/>
    </sheetView>
  </sheetViews>
  <sheetFormatPr defaultColWidth="9" defaultRowHeight="15"/>
  <cols>
    <col min="1" max="4" width="19.42578125" style="1" customWidth="1"/>
    <col min="5" max="5" width="22.7109375" style="1" bestFit="1" customWidth="1"/>
    <col min="6" max="6" width="44.7109375" style="299" bestFit="1" customWidth="1"/>
    <col min="7" max="8" width="36" style="299" bestFit="1" customWidth="1"/>
    <col min="9" max="9" width="48.85546875" style="299" bestFit="1" customWidth="1"/>
    <col min="10" max="11" width="40.140625" style="299" bestFit="1" customWidth="1"/>
    <col min="12" max="12" width="37.42578125" style="299" customWidth="1"/>
    <col min="13" max="13" width="34.85546875" style="299" customWidth="1"/>
    <col min="14" max="14" width="36" style="299" bestFit="1" customWidth="1"/>
    <col min="15" max="16384" width="9" style="1"/>
  </cols>
  <sheetData>
    <row r="1" spans="1:14" ht="21.75" customHeight="1"/>
    <row r="2" spans="1:14" ht="27.75" customHeight="1">
      <c r="A2" s="93" t="s">
        <v>2389</v>
      </c>
      <c r="B2" s="93" t="s">
        <v>2389</v>
      </c>
      <c r="C2" s="93" t="s">
        <v>2389</v>
      </c>
      <c r="D2" s="93" t="s">
        <v>2389</v>
      </c>
      <c r="E2" s="93" t="s">
        <v>2389</v>
      </c>
      <c r="F2" s="93" t="s">
        <v>2389</v>
      </c>
      <c r="G2" s="93" t="s">
        <v>2389</v>
      </c>
      <c r="H2" s="93" t="s">
        <v>2389</v>
      </c>
      <c r="I2" s="93" t="s">
        <v>2389</v>
      </c>
      <c r="J2" s="93" t="s">
        <v>2389</v>
      </c>
      <c r="K2" s="93" t="s">
        <v>2389</v>
      </c>
      <c r="L2" s="93" t="s">
        <v>2389</v>
      </c>
      <c r="M2" s="93" t="s">
        <v>2389</v>
      </c>
      <c r="N2" s="7" t="s">
        <v>2388</v>
      </c>
    </row>
    <row r="3" spans="1:14" ht="41.25" customHeight="1">
      <c r="A3" s="64"/>
      <c r="B3" s="64"/>
      <c r="C3" s="64"/>
      <c r="D3" s="64"/>
      <c r="E3" s="64"/>
      <c r="F3" s="64" t="s">
        <v>8250</v>
      </c>
      <c r="G3" s="64" t="s">
        <v>8146</v>
      </c>
      <c r="H3" s="307" t="s">
        <v>8147</v>
      </c>
      <c r="I3" s="64" t="s">
        <v>8148</v>
      </c>
      <c r="J3" s="64"/>
      <c r="K3" s="64"/>
      <c r="L3" s="64"/>
      <c r="M3" s="64" t="s">
        <v>2077</v>
      </c>
      <c r="N3" s="100" t="s">
        <v>3822</v>
      </c>
    </row>
    <row r="4" spans="1:14" ht="27.75" customHeight="1">
      <c r="A4" s="2"/>
      <c r="B4" s="2"/>
      <c r="C4" s="2"/>
      <c r="D4" s="2"/>
      <c r="E4" s="2"/>
      <c r="F4" s="7"/>
      <c r="G4" s="7"/>
      <c r="H4" s="7"/>
      <c r="I4" s="300"/>
      <c r="J4" s="7"/>
      <c r="K4" s="7"/>
      <c r="L4" s="7"/>
      <c r="M4" s="20"/>
      <c r="N4" s="7"/>
    </row>
    <row r="5" spans="1:14" ht="27.75" customHeight="1">
      <c r="A5" s="2"/>
      <c r="B5" s="2"/>
      <c r="C5" s="2"/>
      <c r="D5" s="2"/>
      <c r="E5" s="2"/>
      <c r="F5" s="7"/>
      <c r="G5" s="7"/>
      <c r="H5" s="7"/>
      <c r="I5" s="300"/>
      <c r="J5" s="3"/>
      <c r="K5" s="7"/>
      <c r="L5" s="7"/>
      <c r="M5" s="20"/>
      <c r="N5" s="7"/>
    </row>
    <row r="6" spans="1:14" ht="27.75" customHeight="1">
      <c r="A6" s="2"/>
      <c r="B6" s="2"/>
      <c r="C6" s="2"/>
      <c r="D6" s="2"/>
      <c r="E6" s="2"/>
      <c r="F6" s="7"/>
      <c r="G6" s="7"/>
      <c r="H6" s="7"/>
      <c r="I6" s="7"/>
      <c r="J6" s="7"/>
      <c r="K6" s="7"/>
      <c r="L6" s="7"/>
      <c r="M6" s="20"/>
      <c r="N6" s="7"/>
    </row>
    <row r="7" spans="1:14" ht="27.75" customHeight="1">
      <c r="A7" s="2"/>
      <c r="B7" s="2"/>
      <c r="C7" s="2"/>
      <c r="D7" s="2"/>
      <c r="E7" s="2"/>
      <c r="F7" s="7"/>
      <c r="G7" s="7"/>
      <c r="H7" s="7"/>
      <c r="I7" s="7"/>
      <c r="J7" s="7"/>
      <c r="K7" s="7"/>
      <c r="L7" s="7"/>
      <c r="M7" s="20"/>
      <c r="N7" s="7"/>
    </row>
    <row r="8" spans="1:14" ht="27.75" customHeight="1">
      <c r="A8" s="2"/>
      <c r="B8" s="2"/>
      <c r="C8" s="2"/>
      <c r="D8" s="2"/>
      <c r="E8" s="2"/>
      <c r="F8" s="7"/>
      <c r="G8" s="7"/>
      <c r="H8" s="7"/>
      <c r="I8" s="7"/>
      <c r="J8" s="7"/>
      <c r="K8" s="7"/>
      <c r="L8" s="7"/>
      <c r="M8" s="20"/>
      <c r="N8" s="7"/>
    </row>
    <row r="9" spans="1:14" ht="27.75" customHeight="1">
      <c r="A9" s="2"/>
      <c r="B9" s="2"/>
      <c r="C9" s="2"/>
      <c r="D9" s="2"/>
      <c r="E9" s="2"/>
      <c r="F9" s="7"/>
      <c r="G9" s="7"/>
      <c r="H9" s="7"/>
      <c r="I9" s="7"/>
      <c r="J9" s="7"/>
      <c r="K9" s="7"/>
      <c r="L9" s="7"/>
      <c r="M9" s="20"/>
      <c r="N9" s="7"/>
    </row>
    <row r="10" spans="1:14" ht="27.75" customHeight="1">
      <c r="A10" s="2"/>
      <c r="B10" s="2"/>
      <c r="C10" s="2"/>
      <c r="D10" s="2"/>
      <c r="E10" s="2"/>
      <c r="F10" s="7"/>
      <c r="G10" s="7"/>
      <c r="H10" s="7"/>
      <c r="I10" s="7"/>
      <c r="J10" s="7"/>
      <c r="K10" s="7"/>
      <c r="L10" s="7"/>
      <c r="M10" s="20"/>
      <c r="N10" s="7"/>
    </row>
    <row r="11" spans="1:14" ht="27.75" customHeight="1">
      <c r="A11" s="2"/>
      <c r="B11" s="2"/>
      <c r="C11" s="2"/>
      <c r="D11" s="2"/>
      <c r="E11" s="2"/>
      <c r="F11" s="7"/>
      <c r="G11" s="7"/>
      <c r="H11" s="7"/>
      <c r="I11" s="7"/>
      <c r="J11" s="7"/>
      <c r="K11" s="7"/>
      <c r="L11" s="7"/>
      <c r="M11" s="20"/>
      <c r="N11" s="7"/>
    </row>
    <row r="12" spans="1:14" ht="27.75" customHeight="1">
      <c r="A12" s="2"/>
      <c r="B12" s="2"/>
      <c r="C12" s="2"/>
      <c r="D12" s="2"/>
      <c r="E12" s="2"/>
      <c r="F12" s="7"/>
      <c r="G12" s="7"/>
      <c r="H12" s="7"/>
      <c r="I12" s="7"/>
      <c r="J12" s="7"/>
      <c r="K12" s="7"/>
      <c r="L12" s="7"/>
      <c r="M12" s="20"/>
      <c r="N12" s="7"/>
    </row>
    <row r="13" spans="1:14" ht="27.75" customHeight="1">
      <c r="A13" s="2"/>
      <c r="B13" s="2"/>
      <c r="C13" s="2"/>
      <c r="D13" s="2"/>
      <c r="E13" s="2"/>
      <c r="F13" s="7"/>
      <c r="G13" s="7"/>
      <c r="H13" s="7"/>
      <c r="I13" s="7"/>
      <c r="J13" s="7"/>
      <c r="K13" s="7"/>
      <c r="L13" s="7"/>
      <c r="M13" s="20"/>
      <c r="N13" s="7"/>
    </row>
    <row r="14" spans="1:14" ht="27.75" customHeight="1">
      <c r="A14" s="2"/>
      <c r="B14" s="2"/>
      <c r="C14" s="2"/>
      <c r="D14" s="2"/>
      <c r="E14" s="2"/>
      <c r="F14" s="7"/>
      <c r="G14" s="7"/>
      <c r="H14" s="7"/>
      <c r="I14" s="7"/>
      <c r="J14" s="7"/>
      <c r="K14" s="7"/>
      <c r="L14" s="7"/>
      <c r="M14" s="20"/>
      <c r="N14" s="7"/>
    </row>
    <row r="15" spans="1:14" ht="27.75" customHeight="1">
      <c r="A15" s="2"/>
      <c r="B15" s="2"/>
      <c r="C15" s="2"/>
      <c r="D15" s="2"/>
      <c r="E15" s="2"/>
      <c r="F15" s="7"/>
      <c r="G15" s="7"/>
      <c r="H15" s="7"/>
      <c r="I15" s="7"/>
      <c r="J15" s="7"/>
      <c r="K15" s="7"/>
      <c r="L15" s="7"/>
      <c r="M15" s="20"/>
      <c r="N15" s="7"/>
    </row>
    <row r="16" spans="1:14" ht="27.75" customHeight="1">
      <c r="A16" s="2"/>
      <c r="B16" s="2"/>
      <c r="C16" s="2"/>
      <c r="D16" s="2"/>
      <c r="E16" s="2"/>
      <c r="F16" s="7"/>
      <c r="G16" s="7"/>
      <c r="H16" s="7"/>
      <c r="I16" s="7"/>
      <c r="J16" s="7"/>
      <c r="K16" s="7"/>
      <c r="L16" s="7"/>
      <c r="M16" s="20"/>
      <c r="N16" s="7"/>
    </row>
    <row r="17" spans="1:14" ht="27.75" customHeight="1">
      <c r="A17" s="2"/>
      <c r="B17" s="2"/>
      <c r="C17" s="2"/>
      <c r="D17" s="2"/>
      <c r="E17" s="2"/>
      <c r="F17" s="7"/>
      <c r="G17" s="7"/>
      <c r="H17" s="7"/>
      <c r="I17" s="7"/>
      <c r="J17" s="7"/>
      <c r="K17" s="7"/>
      <c r="L17" s="7"/>
      <c r="M17" s="20"/>
      <c r="N17" s="7"/>
    </row>
    <row r="18" spans="1:14" ht="27.75" customHeight="1">
      <c r="A18" s="2"/>
      <c r="B18" s="2"/>
      <c r="C18" s="2"/>
      <c r="D18" s="2"/>
      <c r="E18" s="2"/>
      <c r="F18" s="7"/>
      <c r="G18" s="7"/>
      <c r="H18" s="7"/>
      <c r="I18" s="7"/>
      <c r="J18" s="7"/>
      <c r="K18" s="7"/>
      <c r="L18" s="7"/>
      <c r="M18" s="20"/>
      <c r="N18" s="7"/>
    </row>
    <row r="19" spans="1:14" ht="27.75" customHeight="1">
      <c r="A19" s="2"/>
      <c r="B19" s="2"/>
      <c r="C19" s="2"/>
      <c r="D19" s="2"/>
      <c r="E19" s="2"/>
      <c r="F19" s="7"/>
      <c r="G19" s="7"/>
      <c r="H19" s="7"/>
      <c r="I19" s="7"/>
      <c r="J19" s="7"/>
      <c r="K19" s="7"/>
      <c r="L19" s="7"/>
      <c r="M19" s="20"/>
      <c r="N19" s="7"/>
    </row>
    <row r="20" spans="1:14" ht="27.75" customHeight="1">
      <c r="A20" s="2"/>
      <c r="B20" s="2"/>
      <c r="C20" s="2"/>
      <c r="D20" s="2"/>
      <c r="E20" s="2"/>
      <c r="F20" s="7"/>
      <c r="G20" s="7"/>
      <c r="H20" s="7"/>
      <c r="I20" s="7"/>
      <c r="J20" s="7"/>
      <c r="K20" s="7"/>
      <c r="L20" s="7"/>
      <c r="M20" s="20"/>
      <c r="N20" s="7"/>
    </row>
    <row r="21" spans="1:14" ht="27.75" customHeight="1">
      <c r="A21" s="2"/>
      <c r="B21" s="2"/>
      <c r="C21" s="2"/>
      <c r="D21" s="2"/>
      <c r="E21" s="2"/>
      <c r="F21" s="7"/>
      <c r="G21" s="7"/>
      <c r="H21" s="7"/>
      <c r="I21" s="7"/>
      <c r="J21" s="7"/>
      <c r="K21" s="7"/>
      <c r="L21" s="7"/>
      <c r="M21" s="20"/>
      <c r="N21" s="7"/>
    </row>
    <row r="22" spans="1:14" ht="27.75" customHeight="1">
      <c r="A22" s="2"/>
      <c r="B22" s="2"/>
      <c r="C22" s="2"/>
      <c r="D22" s="2"/>
      <c r="E22" s="2"/>
      <c r="F22" s="7"/>
      <c r="G22" s="7"/>
      <c r="H22" s="7"/>
      <c r="I22" s="7"/>
      <c r="J22" s="7"/>
      <c r="K22" s="7"/>
      <c r="L22" s="7"/>
      <c r="M22" s="20"/>
      <c r="N22" s="7"/>
    </row>
  </sheetData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workbookViewId="0">
      <selection activeCell="M4" sqref="M4"/>
    </sheetView>
  </sheetViews>
  <sheetFormatPr defaultRowHeight="15"/>
  <cols>
    <col min="1" max="1" width="38.85546875" bestFit="1" customWidth="1"/>
    <col min="2" max="2" width="12.7109375" customWidth="1"/>
    <col min="3" max="3" width="14.7109375" hidden="1" customWidth="1"/>
    <col min="4" max="4" width="17.7109375" hidden="1" customWidth="1"/>
    <col min="5" max="5" width="12.5703125" customWidth="1"/>
    <col min="6" max="6" width="10.42578125" style="18" customWidth="1"/>
    <col min="7" max="7" width="10.140625" style="18" customWidth="1"/>
    <col min="8" max="8" width="15.7109375" customWidth="1"/>
    <col min="9" max="9" width="9.140625" style="18"/>
    <col min="10" max="10" width="13.5703125" style="73" customWidth="1"/>
    <col min="11" max="11" width="17.5703125" style="73" bestFit="1" customWidth="1"/>
    <col min="12" max="12" width="19.85546875" style="73" bestFit="1" customWidth="1"/>
    <col min="13" max="14" width="19.42578125" style="74" customWidth="1"/>
    <col min="15" max="16" width="9.140625" style="73"/>
  </cols>
  <sheetData>
    <row r="1" spans="1:16" ht="45" customHeight="1">
      <c r="A1" s="334" t="s">
        <v>2890</v>
      </c>
      <c r="B1" s="334"/>
      <c r="C1" s="334"/>
      <c r="D1" s="334"/>
      <c r="E1" s="72"/>
    </row>
    <row r="2" spans="1:16" ht="49.5" customHeight="1">
      <c r="A2" s="70" t="s">
        <v>2875</v>
      </c>
      <c r="B2" s="67" t="s">
        <v>2876</v>
      </c>
      <c r="C2" s="69" t="s">
        <v>2891</v>
      </c>
      <c r="D2" s="69" t="s">
        <v>2892</v>
      </c>
      <c r="E2" s="69" t="s">
        <v>2925</v>
      </c>
      <c r="F2" s="71" t="s">
        <v>2893</v>
      </c>
      <c r="G2" s="71" t="s">
        <v>2894</v>
      </c>
      <c r="H2" s="71" t="s">
        <v>2937</v>
      </c>
      <c r="I2" s="71" t="s">
        <v>2926</v>
      </c>
      <c r="J2" s="75" t="s">
        <v>2939</v>
      </c>
      <c r="K2" s="75" t="s">
        <v>2929</v>
      </c>
      <c r="L2" s="75" t="s">
        <v>2930</v>
      </c>
      <c r="M2" s="75" t="s">
        <v>2895</v>
      </c>
      <c r="N2" s="75" t="s">
        <v>2896</v>
      </c>
      <c r="O2" s="75" t="s">
        <v>2934</v>
      </c>
      <c r="P2" s="75" t="s">
        <v>2936</v>
      </c>
    </row>
    <row r="3" spans="1:16" ht="27.75" customHeight="1">
      <c r="A3" s="66" t="s">
        <v>2877</v>
      </c>
      <c r="B3" s="67">
        <v>1</v>
      </c>
      <c r="C3" s="67">
        <v>5</v>
      </c>
      <c r="D3" s="67">
        <v>3</v>
      </c>
      <c r="E3" s="67">
        <v>5</v>
      </c>
      <c r="F3" s="71"/>
      <c r="G3" s="71"/>
      <c r="H3" s="32"/>
      <c r="I3" s="71"/>
      <c r="J3" s="76"/>
      <c r="K3" s="76"/>
      <c r="L3" s="76"/>
      <c r="M3" s="75"/>
      <c r="N3" s="75">
        <v>3</v>
      </c>
      <c r="O3" s="76"/>
      <c r="P3" s="76"/>
    </row>
    <row r="4" spans="1:16" ht="27.75" customHeight="1">
      <c r="A4" s="66" t="s">
        <v>2927</v>
      </c>
      <c r="B4" s="67">
        <v>1</v>
      </c>
      <c r="C4" s="67">
        <v>5</v>
      </c>
      <c r="D4" s="67">
        <v>3</v>
      </c>
      <c r="E4" s="67">
        <v>2</v>
      </c>
      <c r="F4" s="71">
        <v>3</v>
      </c>
      <c r="G4" s="71"/>
      <c r="H4" s="32"/>
      <c r="I4" s="71"/>
      <c r="J4" s="76"/>
      <c r="K4" s="76"/>
      <c r="L4" s="76"/>
      <c r="M4" s="75">
        <v>3</v>
      </c>
      <c r="N4" s="75"/>
      <c r="O4" s="76"/>
      <c r="P4" s="76"/>
    </row>
    <row r="5" spans="1:16" ht="27.75" customHeight="1">
      <c r="A5" s="66" t="s">
        <v>2878</v>
      </c>
      <c r="B5" s="67">
        <v>1</v>
      </c>
      <c r="C5" s="67">
        <v>5</v>
      </c>
      <c r="D5" s="67">
        <v>3</v>
      </c>
      <c r="E5" s="67">
        <v>2</v>
      </c>
      <c r="F5" s="71"/>
      <c r="G5" s="71"/>
      <c r="H5" s="32"/>
      <c r="I5" s="71">
        <v>3</v>
      </c>
      <c r="J5" s="76"/>
      <c r="K5" s="76"/>
      <c r="L5" s="76"/>
      <c r="M5" s="75"/>
      <c r="N5" s="75">
        <v>3</v>
      </c>
      <c r="O5" s="76"/>
      <c r="P5" s="76"/>
    </row>
    <row r="6" spans="1:16" ht="27.75" customHeight="1">
      <c r="A6" s="66" t="s">
        <v>2879</v>
      </c>
      <c r="B6" s="67">
        <v>4</v>
      </c>
      <c r="C6" s="67">
        <f>2*B6</f>
        <v>8</v>
      </c>
      <c r="D6" s="67">
        <f>6*B6</f>
        <v>24</v>
      </c>
      <c r="E6" s="67">
        <f>2*B6</f>
        <v>8</v>
      </c>
      <c r="F6" s="71"/>
      <c r="G6" s="71"/>
      <c r="H6" s="32"/>
      <c r="I6" s="71"/>
      <c r="J6" s="76">
        <f>2*B6</f>
        <v>8</v>
      </c>
      <c r="K6" s="76"/>
      <c r="L6" s="76"/>
      <c r="M6" s="75"/>
      <c r="N6" s="75">
        <f>4*B6</f>
        <v>16</v>
      </c>
      <c r="O6" s="76"/>
      <c r="P6" s="76"/>
    </row>
    <row r="7" spans="1:16" ht="27.75" customHeight="1">
      <c r="A7" s="66" t="s">
        <v>2928</v>
      </c>
      <c r="B7" s="67">
        <v>1</v>
      </c>
      <c r="C7" s="67">
        <v>4</v>
      </c>
      <c r="D7" s="67">
        <v>4</v>
      </c>
      <c r="E7" s="67">
        <v>2</v>
      </c>
      <c r="F7" s="71"/>
      <c r="G7" s="71"/>
      <c r="H7" s="32"/>
      <c r="I7" s="71"/>
      <c r="J7" s="76"/>
      <c r="K7" s="76">
        <v>3</v>
      </c>
      <c r="L7" s="76">
        <v>3</v>
      </c>
      <c r="M7" s="75"/>
      <c r="N7" s="75"/>
      <c r="O7" s="76"/>
      <c r="P7" s="76"/>
    </row>
    <row r="8" spans="1:16" ht="27.75" customHeight="1">
      <c r="A8" s="66" t="s">
        <v>2931</v>
      </c>
      <c r="B8" s="67">
        <v>1</v>
      </c>
      <c r="C8" s="67">
        <v>8</v>
      </c>
      <c r="D8" s="67"/>
      <c r="E8" s="67">
        <v>2</v>
      </c>
      <c r="F8" s="71"/>
      <c r="G8" s="71"/>
      <c r="H8" s="32"/>
      <c r="I8" s="71">
        <v>3</v>
      </c>
      <c r="J8" s="76"/>
      <c r="K8" s="76"/>
      <c r="L8" s="76"/>
      <c r="M8" s="75"/>
      <c r="N8" s="75">
        <v>3</v>
      </c>
      <c r="O8" s="76"/>
      <c r="P8" s="76"/>
    </row>
    <row r="9" spans="1:16" ht="27.75" customHeight="1">
      <c r="A9" s="66" t="s">
        <v>2880</v>
      </c>
      <c r="B9" s="67">
        <v>2</v>
      </c>
      <c r="C9" s="67">
        <v>8</v>
      </c>
      <c r="D9" s="67"/>
      <c r="E9" s="67"/>
      <c r="F9" s="71"/>
      <c r="G9" s="71">
        <f>8*B9</f>
        <v>16</v>
      </c>
      <c r="H9" s="32"/>
      <c r="I9" s="71"/>
      <c r="J9" s="76"/>
      <c r="K9" s="76"/>
      <c r="L9" s="76"/>
      <c r="M9" s="75"/>
      <c r="N9" s="75"/>
      <c r="O9" s="76"/>
      <c r="P9" s="76"/>
    </row>
    <row r="10" spans="1:16" ht="27.75" customHeight="1">
      <c r="A10" s="66" t="s">
        <v>2932</v>
      </c>
      <c r="B10" s="67">
        <v>1</v>
      </c>
      <c r="C10" s="67">
        <v>4</v>
      </c>
      <c r="D10" s="67">
        <v>4</v>
      </c>
      <c r="E10" s="67">
        <v>2</v>
      </c>
      <c r="F10" s="71">
        <v>3</v>
      </c>
      <c r="G10" s="71"/>
      <c r="H10" s="32"/>
      <c r="I10" s="71"/>
      <c r="J10" s="76"/>
      <c r="K10" s="76"/>
      <c r="L10" s="76"/>
      <c r="M10" s="75">
        <v>3</v>
      </c>
      <c r="N10" s="75"/>
      <c r="O10" s="76"/>
      <c r="P10" s="76"/>
    </row>
    <row r="11" spans="1:16" ht="27.75" customHeight="1">
      <c r="A11" s="66" t="s">
        <v>2881</v>
      </c>
      <c r="B11" s="67">
        <v>1</v>
      </c>
      <c r="C11" s="67">
        <v>8</v>
      </c>
      <c r="D11" s="67"/>
      <c r="E11" s="67">
        <v>8</v>
      </c>
      <c r="F11" s="71"/>
      <c r="G11" s="71"/>
      <c r="H11" s="32"/>
      <c r="I11" s="71"/>
      <c r="J11" s="76"/>
      <c r="K11" s="76"/>
      <c r="L11" s="76"/>
      <c r="M11" s="75"/>
      <c r="N11" s="75"/>
      <c r="O11" s="76"/>
      <c r="P11" s="76"/>
    </row>
    <row r="12" spans="1:16" ht="27.75" customHeight="1">
      <c r="A12" s="66" t="s">
        <v>2882</v>
      </c>
      <c r="B12" s="67">
        <v>1</v>
      </c>
      <c r="C12" s="67">
        <v>2</v>
      </c>
      <c r="D12" s="67">
        <v>6</v>
      </c>
      <c r="E12" s="67">
        <v>2</v>
      </c>
      <c r="F12" s="71"/>
      <c r="G12" s="71"/>
      <c r="H12" s="32"/>
      <c r="I12" s="71"/>
      <c r="J12" s="76"/>
      <c r="K12" s="76"/>
      <c r="L12" s="76"/>
      <c r="M12" s="75"/>
      <c r="N12" s="75">
        <v>6</v>
      </c>
      <c r="O12" s="76"/>
      <c r="P12" s="76"/>
    </row>
    <row r="13" spans="1:16" ht="27.75" customHeight="1">
      <c r="A13" s="66" t="s">
        <v>2883</v>
      </c>
      <c r="B13" s="67">
        <v>2</v>
      </c>
      <c r="C13" s="67">
        <f>2*B13</f>
        <v>4</v>
      </c>
      <c r="D13" s="67">
        <f>6*B13</f>
        <v>12</v>
      </c>
      <c r="E13" s="67">
        <f>2*B13</f>
        <v>4</v>
      </c>
      <c r="F13" s="71"/>
      <c r="G13" s="71"/>
      <c r="H13" s="32"/>
      <c r="I13" s="71"/>
      <c r="J13" s="76"/>
      <c r="K13" s="76"/>
      <c r="L13" s="76"/>
      <c r="M13" s="75"/>
      <c r="N13" s="75">
        <f>6*B13</f>
        <v>12</v>
      </c>
      <c r="O13" s="76"/>
      <c r="P13" s="76"/>
    </row>
    <row r="14" spans="1:16" ht="27.75" customHeight="1">
      <c r="A14" s="66" t="s">
        <v>2884</v>
      </c>
      <c r="B14" s="67">
        <v>1</v>
      </c>
      <c r="C14" s="67">
        <f>2*B14</f>
        <v>2</v>
      </c>
      <c r="D14" s="67">
        <f>6*B14</f>
        <v>6</v>
      </c>
      <c r="E14" s="67">
        <v>2</v>
      </c>
      <c r="F14" s="71"/>
      <c r="G14" s="71"/>
      <c r="H14" s="32"/>
      <c r="I14" s="71"/>
      <c r="J14" s="76"/>
      <c r="K14" s="76"/>
      <c r="L14" s="76"/>
      <c r="M14" s="75"/>
      <c r="N14" s="75">
        <v>6</v>
      </c>
      <c r="O14" s="76"/>
      <c r="P14" s="76"/>
    </row>
    <row r="15" spans="1:16" ht="27.75" customHeight="1">
      <c r="A15" s="66" t="s">
        <v>2933</v>
      </c>
      <c r="B15" s="67">
        <v>1</v>
      </c>
      <c r="C15" s="67">
        <v>5</v>
      </c>
      <c r="D15" s="67">
        <v>3</v>
      </c>
      <c r="E15" s="67">
        <v>2</v>
      </c>
      <c r="F15" s="71"/>
      <c r="G15" s="71"/>
      <c r="H15" s="32"/>
      <c r="I15" s="71"/>
      <c r="J15" s="76"/>
      <c r="K15" s="76"/>
      <c r="L15" s="76"/>
      <c r="M15" s="75"/>
      <c r="N15" s="75">
        <v>6</v>
      </c>
      <c r="O15" s="76"/>
      <c r="P15" s="76"/>
    </row>
    <row r="16" spans="1:16" ht="27.75" customHeight="1">
      <c r="A16" s="66" t="s">
        <v>2889</v>
      </c>
      <c r="B16" s="67">
        <v>1</v>
      </c>
      <c r="C16" s="67">
        <f>3*B16</f>
        <v>3</v>
      </c>
      <c r="D16" s="67">
        <f>5*B16</f>
        <v>5</v>
      </c>
      <c r="E16" s="67">
        <v>4</v>
      </c>
      <c r="F16" s="71"/>
      <c r="G16" s="71"/>
      <c r="H16" s="32"/>
      <c r="I16" s="71"/>
      <c r="J16" s="76"/>
      <c r="K16" s="76"/>
      <c r="L16" s="76"/>
      <c r="M16" s="75"/>
      <c r="N16" s="75"/>
      <c r="O16" s="76">
        <v>4</v>
      </c>
      <c r="P16" s="76"/>
    </row>
    <row r="17" spans="1:16" ht="27.75" customHeight="1">
      <c r="A17" s="66" t="s">
        <v>2935</v>
      </c>
      <c r="B17" s="67">
        <v>1</v>
      </c>
      <c r="C17" s="67"/>
      <c r="D17" s="67"/>
      <c r="E17" s="67">
        <v>2</v>
      </c>
      <c r="F17" s="71"/>
      <c r="G17" s="71"/>
      <c r="H17" s="32"/>
      <c r="I17" s="71"/>
      <c r="J17" s="76"/>
      <c r="K17" s="76"/>
      <c r="L17" s="76"/>
      <c r="M17" s="75"/>
      <c r="N17" s="75"/>
      <c r="O17" s="76"/>
      <c r="P17" s="76">
        <v>2</v>
      </c>
    </row>
    <row r="18" spans="1:16" ht="27.75" customHeight="1">
      <c r="A18" s="66" t="s">
        <v>2885</v>
      </c>
      <c r="B18" s="67">
        <v>1</v>
      </c>
      <c r="C18" s="67">
        <v>5</v>
      </c>
      <c r="D18" s="67">
        <v>3</v>
      </c>
      <c r="E18" s="67">
        <v>2</v>
      </c>
      <c r="F18" s="71"/>
      <c r="G18" s="71"/>
      <c r="H18" s="32"/>
      <c r="I18" s="71">
        <v>3</v>
      </c>
      <c r="J18" s="76"/>
      <c r="K18" s="76"/>
      <c r="L18" s="76"/>
      <c r="M18" s="75"/>
      <c r="N18" s="75">
        <v>3</v>
      </c>
      <c r="O18" s="76"/>
      <c r="P18" s="76"/>
    </row>
    <row r="19" spans="1:16" ht="27.75" customHeight="1">
      <c r="A19" s="66" t="s">
        <v>2886</v>
      </c>
      <c r="B19" s="67">
        <v>1</v>
      </c>
      <c r="C19" s="67">
        <v>3</v>
      </c>
      <c r="D19" s="67">
        <v>5</v>
      </c>
      <c r="E19" s="67">
        <v>3</v>
      </c>
      <c r="F19" s="71"/>
      <c r="G19" s="71"/>
      <c r="H19" s="32"/>
      <c r="I19" s="71"/>
      <c r="J19" s="76"/>
      <c r="K19" s="76"/>
      <c r="L19" s="76"/>
      <c r="M19" s="75"/>
      <c r="N19" s="75">
        <v>5</v>
      </c>
      <c r="O19" s="76"/>
      <c r="P19" s="76"/>
    </row>
    <row r="20" spans="1:16" ht="27.75" customHeight="1">
      <c r="A20" s="66" t="s">
        <v>2888</v>
      </c>
      <c r="B20" s="67">
        <v>1</v>
      </c>
      <c r="C20" s="67">
        <v>8</v>
      </c>
      <c r="D20" s="67"/>
      <c r="E20" s="67">
        <v>2</v>
      </c>
      <c r="F20" s="71"/>
      <c r="G20" s="71"/>
      <c r="H20" s="32">
        <v>6</v>
      </c>
      <c r="I20" s="71"/>
      <c r="J20" s="76"/>
      <c r="K20" s="76"/>
      <c r="L20" s="76"/>
      <c r="M20" s="75"/>
      <c r="N20" s="75"/>
      <c r="O20" s="76"/>
      <c r="P20" s="76"/>
    </row>
    <row r="21" spans="1:16" ht="30" customHeight="1">
      <c r="A21" s="66" t="s">
        <v>2887</v>
      </c>
      <c r="B21" s="68">
        <f t="shared" ref="B21:P21" si="0">SUM(B3:B20)</f>
        <v>23</v>
      </c>
      <c r="C21" s="68">
        <f t="shared" si="0"/>
        <v>87</v>
      </c>
      <c r="D21" s="68">
        <f t="shared" si="0"/>
        <v>81</v>
      </c>
      <c r="E21" s="68">
        <f t="shared" si="0"/>
        <v>54</v>
      </c>
      <c r="F21" s="68">
        <f t="shared" si="0"/>
        <v>6</v>
      </c>
      <c r="G21" s="68">
        <f t="shared" si="0"/>
        <v>16</v>
      </c>
      <c r="H21" s="68">
        <f t="shared" si="0"/>
        <v>6</v>
      </c>
      <c r="I21" s="68">
        <f t="shared" si="0"/>
        <v>9</v>
      </c>
      <c r="J21" s="77">
        <f t="shared" si="0"/>
        <v>8</v>
      </c>
      <c r="K21" s="77">
        <f t="shared" si="0"/>
        <v>3</v>
      </c>
      <c r="L21" s="77">
        <f t="shared" si="0"/>
        <v>3</v>
      </c>
      <c r="M21" s="77">
        <f t="shared" si="0"/>
        <v>6</v>
      </c>
      <c r="N21" s="77">
        <f t="shared" si="0"/>
        <v>63</v>
      </c>
      <c r="O21" s="77">
        <f t="shared" si="0"/>
        <v>4</v>
      </c>
      <c r="P21" s="77">
        <f t="shared" si="0"/>
        <v>2</v>
      </c>
    </row>
    <row r="22" spans="1:16" ht="66.75" customHeight="1">
      <c r="A22" s="66" t="s">
        <v>2938</v>
      </c>
      <c r="B22" s="32"/>
      <c r="C22" s="32"/>
      <c r="D22" s="32"/>
      <c r="E22" s="32">
        <f>E21/8*3</f>
        <v>20.25</v>
      </c>
      <c r="F22" s="32">
        <f>F21/8*3</f>
        <v>2.25</v>
      </c>
      <c r="G22" s="32">
        <f>G21/8*3</f>
        <v>6</v>
      </c>
      <c r="H22" s="32">
        <f>H21/8*3</f>
        <v>2.25</v>
      </c>
      <c r="I22" s="32">
        <f>I21/8*3</f>
        <v>3.375</v>
      </c>
      <c r="J22" s="78">
        <f>J21/8*4</f>
        <v>4</v>
      </c>
      <c r="K22" s="78">
        <f t="shared" ref="K22:P22" si="1">K21/8*4</f>
        <v>1.5</v>
      </c>
      <c r="L22" s="78">
        <f t="shared" si="1"/>
        <v>1.5</v>
      </c>
      <c r="M22" s="78">
        <f t="shared" si="1"/>
        <v>3</v>
      </c>
      <c r="N22" s="78">
        <f t="shared" si="1"/>
        <v>31.5</v>
      </c>
      <c r="O22" s="78">
        <f t="shared" si="1"/>
        <v>2</v>
      </c>
      <c r="P22" s="78">
        <f t="shared" si="1"/>
        <v>1</v>
      </c>
    </row>
    <row r="25" spans="1:16" ht="19.5">
      <c r="A25" s="79" t="s">
        <v>2894</v>
      </c>
      <c r="B25" s="80">
        <f>G22+N22</f>
        <v>37.5</v>
      </c>
    </row>
    <row r="26" spans="1:16" ht="19.5">
      <c r="A26" s="79" t="s">
        <v>2893</v>
      </c>
      <c r="B26" s="80">
        <f>F22+M22</f>
        <v>5.25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E13" sqref="E13"/>
    </sheetView>
  </sheetViews>
  <sheetFormatPr defaultRowHeight="15"/>
  <cols>
    <col min="1" max="1" width="25.5703125" customWidth="1"/>
    <col min="2" max="2" width="26.42578125" customWidth="1"/>
    <col min="4" max="5" width="25.28515625" customWidth="1"/>
  </cols>
  <sheetData>
    <row r="1" spans="1:5" ht="66" customHeight="1">
      <c r="A1" s="337" t="s">
        <v>2993</v>
      </c>
      <c r="B1" s="337"/>
      <c r="C1" s="337"/>
      <c r="D1" s="337"/>
      <c r="E1" s="337"/>
    </row>
    <row r="2" spans="1:5" ht="42" customHeight="1">
      <c r="A2" s="335" t="s">
        <v>2990</v>
      </c>
      <c r="B2" s="336"/>
      <c r="C2" s="1"/>
      <c r="D2" s="335" t="s">
        <v>2992</v>
      </c>
      <c r="E2" s="336"/>
    </row>
    <row r="3" spans="1:5" ht="42" customHeight="1">
      <c r="A3" s="88" t="s">
        <v>2991</v>
      </c>
      <c r="B3" s="88" t="s">
        <v>2991</v>
      </c>
      <c r="C3" s="1"/>
      <c r="D3" s="89" t="s">
        <v>2991</v>
      </c>
      <c r="E3" s="89" t="s">
        <v>2991</v>
      </c>
    </row>
    <row r="4" spans="1:5" ht="42" customHeight="1">
      <c r="A4" s="88" t="s">
        <v>2991</v>
      </c>
      <c r="B4" s="88" t="s">
        <v>2991</v>
      </c>
      <c r="C4" s="1"/>
      <c r="D4" s="90" t="s">
        <v>2925</v>
      </c>
      <c r="E4" s="90" t="s">
        <v>2925</v>
      </c>
    </row>
    <row r="5" spans="1:5" ht="42" customHeight="1">
      <c r="A5" s="91" t="s">
        <v>2925</v>
      </c>
      <c r="B5" s="91" t="s">
        <v>2925</v>
      </c>
      <c r="C5" s="1"/>
      <c r="D5" s="89" t="s">
        <v>2991</v>
      </c>
      <c r="E5" s="89" t="s">
        <v>2991</v>
      </c>
    </row>
    <row r="6" spans="1:5" ht="42" customHeight="1">
      <c r="A6" s="88" t="s">
        <v>2991</v>
      </c>
      <c r="B6" s="88" t="s">
        <v>2991</v>
      </c>
      <c r="C6" s="1"/>
      <c r="D6" s="90" t="s">
        <v>2925</v>
      </c>
      <c r="E6" s="89" t="s">
        <v>2991</v>
      </c>
    </row>
    <row r="7" spans="1:5">
      <c r="A7" s="1"/>
      <c r="B7" s="1"/>
      <c r="C7" s="1"/>
      <c r="D7" s="1"/>
      <c r="E7" s="1"/>
    </row>
    <row r="8" spans="1:5">
      <c r="A8" s="1"/>
      <c r="B8" s="1"/>
      <c r="C8" s="1"/>
      <c r="D8" s="1"/>
      <c r="E8" s="1"/>
    </row>
    <row r="9" spans="1:5" ht="42" customHeight="1">
      <c r="A9" s="335" t="s">
        <v>2994</v>
      </c>
      <c r="B9" s="336"/>
      <c r="C9" s="1"/>
      <c r="D9" s="335" t="s">
        <v>2995</v>
      </c>
      <c r="E9" s="336"/>
    </row>
    <row r="10" spans="1:5" ht="42" customHeight="1">
      <c r="A10" s="88" t="s">
        <v>2991</v>
      </c>
      <c r="B10" s="88" t="s">
        <v>2991</v>
      </c>
      <c r="C10" s="1"/>
      <c r="D10" s="90" t="s">
        <v>2925</v>
      </c>
      <c r="E10" s="90" t="s">
        <v>2925</v>
      </c>
    </row>
    <row r="11" spans="1:5" ht="42" customHeight="1">
      <c r="A11" s="91" t="s">
        <v>2925</v>
      </c>
      <c r="B11" s="91" t="s">
        <v>2925</v>
      </c>
      <c r="C11" s="1"/>
      <c r="D11" s="89" t="s">
        <v>2991</v>
      </c>
      <c r="E11" s="89" t="s">
        <v>2991</v>
      </c>
    </row>
    <row r="12" spans="1:5" ht="42" customHeight="1">
      <c r="A12" s="88" t="s">
        <v>2991</v>
      </c>
      <c r="B12" s="88" t="s">
        <v>2991</v>
      </c>
      <c r="C12" s="1"/>
      <c r="D12" s="90" t="s">
        <v>2925</v>
      </c>
      <c r="E12" s="90" t="s">
        <v>2925</v>
      </c>
    </row>
    <row r="13" spans="1:5" ht="42" customHeight="1">
      <c r="A13" s="91" t="s">
        <v>2925</v>
      </c>
      <c r="B13" s="91" t="s">
        <v>2925</v>
      </c>
      <c r="C13" s="1"/>
      <c r="D13" s="89" t="s">
        <v>2991</v>
      </c>
      <c r="E13" s="90" t="s">
        <v>2925</v>
      </c>
    </row>
  </sheetData>
  <mergeCells count="5">
    <mergeCell ref="A9:B9"/>
    <mergeCell ref="D9:E9"/>
    <mergeCell ref="A1:E1"/>
    <mergeCell ref="A2:B2"/>
    <mergeCell ref="D2:E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selection activeCell="E27" sqref="E27"/>
    </sheetView>
  </sheetViews>
  <sheetFormatPr defaultColWidth="9.140625" defaultRowHeight="15"/>
  <cols>
    <col min="1" max="1" width="10.7109375" style="1" customWidth="1"/>
    <col min="2" max="2" width="47.42578125" style="1" customWidth="1"/>
    <col min="3" max="16384" width="9.140625" style="1"/>
  </cols>
  <sheetData>
    <row r="1" spans="1:2" ht="45.75" customHeight="1">
      <c r="A1" s="340" t="s">
        <v>6322</v>
      </c>
      <c r="B1" s="340"/>
    </row>
    <row r="2" spans="1:2">
      <c r="A2" s="187">
        <v>19.600000000000001</v>
      </c>
      <c r="B2" s="338" t="s">
        <v>6323</v>
      </c>
    </row>
    <row r="3" spans="1:2">
      <c r="A3" s="187">
        <v>19.829999999999998</v>
      </c>
      <c r="B3" s="339"/>
    </row>
    <row r="4" spans="1:2">
      <c r="A4" s="187">
        <v>19.89</v>
      </c>
      <c r="B4" s="339"/>
    </row>
    <row r="5" spans="1:2">
      <c r="A5" s="187">
        <v>19.899999999999999</v>
      </c>
      <c r="B5" s="339"/>
    </row>
    <row r="6" spans="1:2">
      <c r="A6" s="187">
        <v>19.809999999999999</v>
      </c>
      <c r="B6" s="339"/>
    </row>
    <row r="7" spans="1:2">
      <c r="A7" s="187">
        <v>19.72</v>
      </c>
      <c r="B7" s="339"/>
    </row>
    <row r="8" spans="1:2">
      <c r="A8" s="187">
        <v>19.84</v>
      </c>
      <c r="B8" s="339"/>
    </row>
    <row r="9" spans="1:2">
      <c r="A9" s="187">
        <v>19.739999999999998</v>
      </c>
      <c r="B9" s="339"/>
    </row>
    <row r="10" spans="1:2">
      <c r="A10" s="187">
        <v>19.649999999999999</v>
      </c>
      <c r="B10" s="339"/>
    </row>
    <row r="11" spans="1:2">
      <c r="A11" s="187">
        <v>19.7</v>
      </c>
      <c r="B11" s="339"/>
    </row>
    <row r="12" spans="1:2">
      <c r="A12" s="187">
        <v>19.760000000000002</v>
      </c>
      <c r="B12" s="339"/>
    </row>
    <row r="13" spans="1:2">
      <c r="A13" s="187">
        <v>19.739999999999998</v>
      </c>
      <c r="B13" s="339"/>
    </row>
    <row r="14" spans="1:2">
      <c r="A14" s="187">
        <v>19.89</v>
      </c>
      <c r="B14" s="339"/>
    </row>
    <row r="15" spans="1:2">
      <c r="A15" s="187">
        <v>19.66</v>
      </c>
      <c r="B15" s="339"/>
    </row>
    <row r="16" spans="1:2">
      <c r="A16" s="187">
        <v>19.7</v>
      </c>
      <c r="B16" s="339"/>
    </row>
    <row r="17" spans="1:2">
      <c r="A17" s="187">
        <v>19.829999999999998</v>
      </c>
      <c r="B17" s="339"/>
    </row>
    <row r="18" spans="1:2">
      <c r="A18" s="187">
        <v>19.87</v>
      </c>
      <c r="B18" s="339"/>
    </row>
    <row r="19" spans="1:2">
      <c r="A19" s="187">
        <v>19.7</v>
      </c>
      <c r="B19" s="339"/>
    </row>
    <row r="20" spans="1:2">
      <c r="A20" s="187">
        <v>19.86</v>
      </c>
      <c r="B20" s="339"/>
    </row>
    <row r="23" spans="1:2">
      <c r="A23" s="188">
        <v>19.579999999999998</v>
      </c>
      <c r="B23" s="341" t="s">
        <v>6324</v>
      </c>
    </row>
    <row r="24" spans="1:2">
      <c r="A24" s="188">
        <v>22.5</v>
      </c>
      <c r="B24" s="342"/>
    </row>
    <row r="25" spans="1:2">
      <c r="A25" s="188">
        <v>19.920000000000002</v>
      </c>
      <c r="B25" s="342"/>
    </row>
    <row r="26" spans="1:2">
      <c r="A26" s="188">
        <v>19.97</v>
      </c>
      <c r="B26" s="342"/>
    </row>
    <row r="27" spans="1:2">
      <c r="A27" s="188">
        <v>19.920000000000002</v>
      </c>
      <c r="B27" s="343"/>
    </row>
  </sheetData>
  <mergeCells count="3">
    <mergeCell ref="B2:B20"/>
    <mergeCell ref="A1:B1"/>
    <mergeCell ref="B23:B27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kế hoạch lên thô</vt:lpstr>
      <vt:lpstr>xưởng B</vt:lpstr>
      <vt:lpstr>OE</vt:lpstr>
      <vt:lpstr>sp xưởng B</vt:lpstr>
      <vt:lpstr>tính cky </vt:lpstr>
      <vt:lpstr>chải xA</vt:lpstr>
      <vt:lpstr>chải xB</vt:lpstr>
      <vt:lpstr>BÔNG DÙNG CNM</vt:lpstr>
      <vt:lpstr>ghép 4 SUỐT AA</vt:lpstr>
      <vt:lpstr>ghép 4 SUỐT AB</vt:lpstr>
      <vt:lpstr>ghép 5 SUỐT AA</vt:lpstr>
      <vt:lpstr>ghép 5 SUỐT AB</vt:lpstr>
      <vt:lpstr>TÍNH BÁO CÁO XB</vt:lpstr>
      <vt:lpstr>SẮP CÚI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XE-VPTH-PC02</dc:creator>
  <cp:lastModifiedBy>XE-VPTH-PC02</cp:lastModifiedBy>
  <cp:lastPrinted>2025-02-17T00:54:24Z</cp:lastPrinted>
  <dcterms:created xsi:type="dcterms:W3CDTF">2024-03-09T04:38:27Z</dcterms:created>
  <dcterms:modified xsi:type="dcterms:W3CDTF">2025-12-27T10:02:25Z</dcterms:modified>
</cp:coreProperties>
</file>